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printerSettings/printerSettings2.bin" ContentType="application/vnd.openxmlformats-officedocument.spreadsheetml.printerSettings"/>
  <Override PartName="/xl/drawings/drawing4.xml" ContentType="application/vnd.openxmlformats-officedocument.drawing+xml"/>
  <Override PartName="/xl/ctrlProps/ctrlProp1.xml" ContentType="application/vnd.ms-excel.controlproperties+xml"/>
  <Override PartName="/xl/printerSettings/printerSettings3.bin" ContentType="application/vnd.openxmlformats-officedocument.spreadsheetml.printerSettings"/>
  <Override PartName="/xl/drawings/drawing5.xml" ContentType="application/vnd.openxmlformats-officedocument.drawing+xml"/>
  <Override PartName="/xl/printerSettings/printerSettings4.bin" ContentType="application/vnd.openxmlformats-officedocument.spreadsheetml.printerSettings"/>
  <Override PartName="/xl/drawings/drawing6.xml" ContentType="application/vnd.openxmlformats-officedocument.drawing+xml"/>
  <Override PartName="/xl/drawings/drawing7.xml" ContentType="application/vnd.openxmlformats-officedocument.drawing+xml"/>
  <Override PartName="/xl/printerSettings/printerSettings5.bin" ContentType="application/vnd.openxmlformats-officedocument.spreadsheetml.printerSettings"/>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printerSettings/printerSettings6.bin" ContentType="application/vnd.openxmlformats-officedocument.spreadsheetml.printerSettings"/>
  <Override PartName="/xl/drawings/drawing11.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SVN_SISTEMA_EINDI\02_OTS\OT8679\01.Plan\"/>
    </mc:Choice>
  </mc:AlternateContent>
  <bookViews>
    <workbookView xWindow="0" yWindow="180" windowWidth="19440" windowHeight="7575" tabRatio="976" firstSheet="2" activeTab="3"/>
  </bookViews>
  <sheets>
    <sheet name="Historial_Revisiones" sheetId="22" state="hidden" r:id="rId1"/>
    <sheet name="Instructivo" sheetId="12" r:id="rId2"/>
    <sheet name="Registro de Cambios" sheetId="14" r:id="rId3"/>
    <sheet name="General" sheetId="1" r:id="rId4"/>
    <sheet name="Entregables" sheetId="13" r:id="rId5"/>
    <sheet name="Consideraciones" sheetId="10" r:id="rId6"/>
    <sheet name="Requerimientos de usuario" sheetId="15" r:id="rId7"/>
    <sheet name="Requerimientos del sistema" sheetId="16" r:id="rId8"/>
    <sheet name="Requerimientos no funcionales" sheetId="17" r:id="rId9"/>
    <sheet name="Observaciones a la LR" sheetId="18" r:id="rId10"/>
    <sheet name="Diccionario de atributos" sheetId="19" state="hidden" r:id="rId11"/>
    <sheet name="Diccionario de valores" sheetId="20" state="hidden" r:id="rId12"/>
    <sheet name="Tablas" sheetId="6" state="hidden" r:id="rId13"/>
    <sheet name="check list" sheetId="23" state="hidden" r:id="rId14"/>
  </sheets>
  <externalReferences>
    <externalReference r:id="rId15"/>
    <externalReference r:id="rId16"/>
  </externalReferences>
  <definedNames>
    <definedName name="_xlnm._FilterDatabase" localSheetId="7" hidden="1">'Requerimientos del sistema'!$B$9:$O$10</definedName>
    <definedName name="_xlnm._FilterDatabase" localSheetId="12" hidden="1">Tablas!$B$52:$B$54</definedName>
    <definedName name="Aarquitectura">'Diccionario de atributos'!$D$5:$D$6</definedName>
    <definedName name="Analista">Tablas!$D$26:$D$29</definedName>
    <definedName name="Analista_de_Calidad">Tablas!$D$33</definedName>
    <definedName name="Aplicaciones">Tablas!$G$31:$G$54</definedName>
    <definedName name="_xlnm.Print_Area" localSheetId="3">General!$A$3:$BW$251</definedName>
    <definedName name="Autor_Registro">Tablas!$G$9:$G$14</definedName>
    <definedName name="Consultor">Tablas!$D$9:$D$14</definedName>
    <definedName name="Contacto">'Diccionario de atributos'!$D$7:$D$18</definedName>
    <definedName name="Dedicacion">Tablas!$B$69:$B$168</definedName>
    <definedName name="Dificultad">'Diccionario de atributos'!$D$22:$D$24</definedName>
    <definedName name="horas">General!$C$17</definedName>
    <definedName name="interfaz">'Diccionario de atributos'!$D$53:$D$55</definedName>
    <definedName name="Jefe_de_Fábrica">Tablas!$D$22</definedName>
    <definedName name="Opcion">Tablas!$B$52:$B$54</definedName>
    <definedName name="OpcionSiNo" localSheetId="0">[1]Sheet1!$A$1:$A$2</definedName>
    <definedName name="PESO_1" localSheetId="0">[2]CalculoPF!#REF!</definedName>
    <definedName name="Recursos">Tablas!$B$57:$B$66</definedName>
    <definedName name="Rol">Tablas!$B$38:$B$48</definedName>
    <definedName name="RUSU">'Requerimientos de usuario'!$D$11:$D$266</definedName>
    <definedName name="Situación">'Diccionario de atributos'!$D$40:$D$43</definedName>
    <definedName name="TAB_LINEA">Tablas!$B$15:$B$18</definedName>
    <definedName name="TAB_MIN_ESFUERZO">Tablas!$C$5</definedName>
    <definedName name="TAB_MIN_PLAZO">Tablas!$C$4</definedName>
    <definedName name="TAB_PRIORIDAD">Tablas!$B$9:$B$10</definedName>
    <definedName name="TAB_SOLICITUD">Tablas!$B$21:$B$21</definedName>
    <definedName name="TAB_TIPO_OT">Tablas!$B$24:$B$26</definedName>
    <definedName name="TARIFA_VIGENTE" localSheetId="0">#REF!</definedName>
    <definedName name="TIPODESARROLLO">'Diccionario de atributos'!$D$45:$D$47</definedName>
    <definedName name="TipoOt">General!$C$7</definedName>
    <definedName name="TipoReqSist">'Diccionario de atributos'!$D$50:$D$52</definedName>
  </definedNames>
  <calcPr calcId="152511"/>
</workbook>
</file>

<file path=xl/calcChain.xml><?xml version="1.0" encoding="utf-8"?>
<calcChain xmlns="http://schemas.openxmlformats.org/spreadsheetml/2006/main">
  <c r="C17" i="1" l="1"/>
  <c r="C30" i="1" s="1"/>
  <c r="B12" i="17"/>
  <c r="H12" i="15"/>
  <c r="H13" i="15"/>
  <c r="H11" i="15"/>
  <c r="Q10" i="16" l="1"/>
  <c r="E7" i="15" l="1"/>
  <c r="E7" i="16" s="1"/>
  <c r="B7" i="23" l="1"/>
  <c r="B8" i="23" s="1"/>
  <c r="B9" i="23" s="1"/>
  <c r="B10" i="23" s="1"/>
  <c r="C7" i="18"/>
  <c r="C7" i="17"/>
  <c r="E6" i="15" l="1"/>
  <c r="E6" i="16" s="1"/>
  <c r="C6" i="17" l="1"/>
  <c r="C6" i="18"/>
  <c r="H9" i="15" l="1"/>
  <c r="B8" i="10"/>
  <c r="B9" i="10" s="1"/>
  <c r="B10" i="10" s="1"/>
  <c r="B11" i="10" s="1"/>
  <c r="B12" i="10" s="1"/>
  <c r="B13" i="10" s="1"/>
  <c r="B14" i="10" s="1"/>
  <c r="B15" i="10" s="1"/>
  <c r="B16" i="10" s="1"/>
  <c r="F6" i="1" l="1"/>
  <c r="G6" i="1" s="1"/>
  <c r="B11" i="17"/>
</calcChain>
</file>

<file path=xl/sharedStrings.xml><?xml version="1.0" encoding="utf-8"?>
<sst xmlns="http://schemas.openxmlformats.org/spreadsheetml/2006/main" count="1070" uniqueCount="506">
  <si>
    <t>Se indica en esta columna comentario respecto al artefacto</t>
  </si>
  <si>
    <t>Refiere a la fase de desarrollo en la que se tiene que generar.</t>
  </si>
  <si>
    <t>Indica el nombre del responsable de la creación del artefacto.
Se deja registrado el rol responsable del desarrollo, el mismo que puede ser modificad según la necesidad.</t>
  </si>
  <si>
    <t>Nombre del Jefe de la Fábrica, quien es la persona que recibió y asigna la OT. En su ausencia delegará a algún responsable</t>
  </si>
  <si>
    <t>Id</t>
  </si>
  <si>
    <t>Descripción</t>
  </si>
  <si>
    <t>Inicio</t>
  </si>
  <si>
    <t>Fin</t>
  </si>
  <si>
    <t>Prioridad</t>
  </si>
  <si>
    <t>Color</t>
  </si>
  <si>
    <t>Las celdas con este color de fondo, son celdas en las que se debe ingresar información</t>
  </si>
  <si>
    <t>Las celdas con este color de fondo o con fondo color blanco, son celdas de contenido fijo</t>
  </si>
  <si>
    <t>Columna</t>
  </si>
  <si>
    <t>OT</t>
  </si>
  <si>
    <t>Hojas</t>
  </si>
  <si>
    <t>Instructivo</t>
  </si>
  <si>
    <t>Condiciones</t>
  </si>
  <si>
    <t>Prioridades de una O/T</t>
  </si>
  <si>
    <t>Normal</t>
  </si>
  <si>
    <t>Urgente</t>
  </si>
  <si>
    <t>Dependencia</t>
  </si>
  <si>
    <t>Empresa</t>
  </si>
  <si>
    <t>Frecuencia</t>
  </si>
  <si>
    <t>Fechas</t>
  </si>
  <si>
    <t>Línea</t>
  </si>
  <si>
    <t>General</t>
  </si>
  <si>
    <t>Total</t>
  </si>
  <si>
    <t>Consultor</t>
  </si>
  <si>
    <t>Analista</t>
  </si>
  <si>
    <t>Solicitado</t>
  </si>
  <si>
    <t>Solicitud</t>
  </si>
  <si>
    <t>Solicitud de Validación</t>
  </si>
  <si>
    <t>OT/Proyecto/Otros</t>
  </si>
  <si>
    <t>Construcción</t>
  </si>
  <si>
    <t>Tipo OT</t>
  </si>
  <si>
    <t>Evaluación</t>
  </si>
  <si>
    <t>Analista Calidad</t>
  </si>
  <si>
    <t>Evolutiva</t>
  </si>
  <si>
    <t>Número de OT</t>
  </si>
  <si>
    <t>Solicitud de validación</t>
  </si>
  <si>
    <t>Participantes</t>
  </si>
  <si>
    <t>Nombre del consultor que solicito la OT</t>
  </si>
  <si>
    <t>Nombre del Analista que evaluó la OT. Evaluar se entiende como desagregar los requerimientos, estimarlos, armar el cronograma y el plan de OT</t>
  </si>
  <si>
    <t>Nombre del Analista que realizo la revisión de calidad de la evaluación de la OT.</t>
  </si>
  <si>
    <t>Análisis / Diseño</t>
  </si>
  <si>
    <t>Líneas</t>
  </si>
  <si>
    <t>Pruebas Internas</t>
  </si>
  <si>
    <t>Fuera de Alcance</t>
  </si>
  <si>
    <t>Versión</t>
  </si>
  <si>
    <t>Títulos de los campos.</t>
  </si>
  <si>
    <t>Tablas</t>
  </si>
  <si>
    <t>Objetivo</t>
  </si>
  <si>
    <t>Las celdas con este color de fondo, son celdas que se obtienen mediante fórmula.</t>
  </si>
  <si>
    <t>Registro de Cambios</t>
  </si>
  <si>
    <t>Hoja "General"</t>
  </si>
  <si>
    <t>Artefacto</t>
  </si>
  <si>
    <t>Entregables</t>
  </si>
  <si>
    <t>Lista de entregables comprometidos para esta OT. Se mantienen los compromisos por tipo y tamaño de OT, salvo se acuerde el cambio con el Consultor.</t>
  </si>
  <si>
    <t>ENTREGABLES</t>
  </si>
  <si>
    <t xml:space="preserve">FUERA DE ALCANCE </t>
  </si>
  <si>
    <t>DEPENDENCIAS</t>
  </si>
  <si>
    <t>CONDICIONES</t>
  </si>
  <si>
    <t>TABLAS</t>
  </si>
  <si>
    <t>Hoja "Entregables"</t>
  </si>
  <si>
    <t>Plazo mínimo atención</t>
  </si>
  <si>
    <t>Esfuerzo mínimo atención</t>
  </si>
  <si>
    <t>Esta hoja detalla las instrucciones del contenido de este artefacto.</t>
  </si>
  <si>
    <t>Indica si se va a requerir la ejecución del alcance</t>
  </si>
  <si>
    <t>Descripción del alcance</t>
  </si>
  <si>
    <t>Indica el correlativo de los registros</t>
  </si>
  <si>
    <t>Registra el código o nombre de OT, Proyecto u otros</t>
  </si>
  <si>
    <t>Define de quien depende</t>
  </si>
  <si>
    <t>Registra el nombre de la empresa</t>
  </si>
  <si>
    <t>Indica la fecha de inicio</t>
  </si>
  <si>
    <t>Indica la fecha de fin</t>
  </si>
  <si>
    <t>Referencia la frecuencia en la que se realizará</t>
  </si>
  <si>
    <t>Registra las condicionantes que se presentan</t>
  </si>
  <si>
    <t xml:space="preserve">Estado </t>
  </si>
  <si>
    <t xml:space="preserve">Consultor del Proyecto </t>
  </si>
  <si>
    <t xml:space="preserve">Evaluación </t>
  </si>
  <si>
    <t xml:space="preserve">Diseño </t>
  </si>
  <si>
    <t xml:space="preserve">Construcción </t>
  </si>
  <si>
    <t xml:space="preserve">Analista Programador </t>
  </si>
  <si>
    <t>Responsable de Generar Artefacto</t>
  </si>
  <si>
    <t>Rol Responsable de Generar Artefacto</t>
  </si>
  <si>
    <t>-</t>
  </si>
  <si>
    <t xml:space="preserve">Analista/QA Fábrica </t>
  </si>
  <si>
    <t>QA Fábrica</t>
  </si>
  <si>
    <t>Necesario</t>
  </si>
  <si>
    <t>Opcional</t>
  </si>
  <si>
    <t>Jefe de Fábrica</t>
  </si>
  <si>
    <t>7.7.5.1.01.R05 Reporte de Error.doc</t>
  </si>
  <si>
    <r>
      <t xml:space="preserve">Correctiva
</t>
    </r>
    <r>
      <rPr>
        <sz val="10"/>
        <rFont val="Arial"/>
        <family val="2"/>
      </rPr>
      <t>(Urgente &lt; 8 H/H)
(Normal &lt; 40 H/H)</t>
    </r>
  </si>
  <si>
    <t>Evolutiva Pequeña</t>
  </si>
  <si>
    <t>Evolutiva Mediana</t>
  </si>
  <si>
    <t>Evolutiva Grande</t>
  </si>
  <si>
    <t>Estado</t>
  </si>
  <si>
    <t>Pequeña
(&lt;=32 H/H)</t>
  </si>
  <si>
    <t>Mediana
(33 a 176 H/H)</t>
  </si>
  <si>
    <t>Grande
(177 a 352 H/H)</t>
  </si>
  <si>
    <t>Información sobre la Orden de Trabajo (OT) y el resultado de la evaluación</t>
  </si>
  <si>
    <t>Entregables acordados</t>
  </si>
  <si>
    <t>Observaciones</t>
  </si>
  <si>
    <t>Requiere actualizarlo cuando ya exista.
Para OT´s grandes, en caso de no existir debe crearse si corresponde.</t>
  </si>
  <si>
    <t>Extracción de Datos</t>
  </si>
  <si>
    <t>Recursos</t>
  </si>
  <si>
    <t>% Dedicación</t>
  </si>
  <si>
    <t>De</t>
  </si>
  <si>
    <t>A</t>
  </si>
  <si>
    <t>Fechas de compromiso requeridas (por el Consultor) para</t>
  </si>
  <si>
    <t>Revisión y Aprobación de Análisis</t>
  </si>
  <si>
    <t>Revisión y Aprobación de Diseño</t>
  </si>
  <si>
    <t>Duración de Atención de OT (en días x parte de la fabrica)</t>
  </si>
  <si>
    <t>Línea de producción que evaluó la OT</t>
  </si>
  <si>
    <t>Tipo de OT (Evolutiva, Correctiva, Extracción de Datos, Proyecto, Evaluación)</t>
  </si>
  <si>
    <t>Breve descripción de la OT</t>
  </si>
  <si>
    <t>Prioridad de la OT (según lo registrado por el Consultor), pueden ser: normal, urgente o despriorizada</t>
  </si>
  <si>
    <t>Estimación H/H</t>
  </si>
  <si>
    <t>Actividades (a ser aprobado por el Consultor)</t>
  </si>
  <si>
    <t>Campo en el que se ingresa el número de H/H requeridos para la realización de las actividades programadas.</t>
  </si>
  <si>
    <t>CRONOGRAMA DE ACTIVIDADES:</t>
  </si>
  <si>
    <t>GENERAL:</t>
  </si>
  <si>
    <t>Cronograma de Actividades</t>
  </si>
  <si>
    <t>En este campo (espacio) se coloca un print screen del cronograma correspondiente a la OT indicada.</t>
  </si>
  <si>
    <t>Sssss</t>
  </si>
  <si>
    <t>Este artefacto lo debe realizar otro analista programador, diferente al que desarrolló el requerimiento.</t>
  </si>
  <si>
    <t>Carmen Santa Cruz</t>
  </si>
  <si>
    <t>Analista de Calidad</t>
  </si>
  <si>
    <t>Alicia Pineda</t>
  </si>
  <si>
    <t>Elaboración y entrega de Escenarios de Pruebas</t>
  </si>
  <si>
    <t>Se define la fecha máxima de entrega de los Escenarios de Pruebas por parte del consultor a la fábrica</t>
  </si>
  <si>
    <t>Se define la fecha tentativa del inicio y fin para la revisión y aprobación del análisis por parte del consultor</t>
  </si>
  <si>
    <t>Se define la fecha tentativa del inicio y fin de la revisión y aprobación del diseño por parte del consultor</t>
  </si>
  <si>
    <t>Se define la duración total en número de días del tiempo que demorará la atención de la OT, desde el Análisis hasta la Entrega de la misma, la cual dependerá de la cantidad de recursos involucrados en la OT.  Esta información debe coincidir con la duración indicada en el cronograma</t>
  </si>
  <si>
    <t>En esta columna se realiza el acuerdo de los entregables:
Si: En caso se requiera el entregable
No: En caso no se considere necesario</t>
  </si>
  <si>
    <t>Si</t>
  </si>
  <si>
    <t>Fecha de registro</t>
  </si>
  <si>
    <t>Autor del registro</t>
  </si>
  <si>
    <t>Descripción del registro</t>
  </si>
  <si>
    <t>No</t>
  </si>
  <si>
    <t>Columna que muestra el listado de artefactos (interfaces) que se usarán o no en la atención de la OT</t>
  </si>
  <si>
    <t>Opción</t>
  </si>
  <si>
    <t>Autor_Registro</t>
  </si>
  <si>
    <t>Equipo Desarrollo</t>
  </si>
  <si>
    <t>Requerimientos de usuario (RUSU)</t>
  </si>
  <si>
    <t>Línea de Producción:</t>
  </si>
  <si>
    <t>Contacto:</t>
  </si>
  <si>
    <t>Total Horas</t>
  </si>
  <si>
    <t>Id Req Usuario</t>
  </si>
  <si>
    <t>Descripción de requerimiento de usuario</t>
  </si>
  <si>
    <t>Sistema</t>
  </si>
  <si>
    <t>Situación</t>
  </si>
  <si>
    <t>Fecha de Último Cambio
Aprobado</t>
  </si>
  <si>
    <t>Juicio Experto - Tiempo en horas de construcción</t>
  </si>
  <si>
    <t>Original</t>
  </si>
  <si>
    <t>.</t>
  </si>
  <si>
    <t>Requerimientos del sistema (RSIS)</t>
  </si>
  <si>
    <t>Id Req Sistema</t>
  </si>
  <si>
    <t>Descripción de requerimiento de sistema</t>
  </si>
  <si>
    <t>Tipo requerimiento de sistema</t>
  </si>
  <si>
    <t>Id escenario</t>
  </si>
  <si>
    <t>Escenario</t>
  </si>
  <si>
    <t>Es interfaz</t>
  </si>
  <si>
    <t>Tipo de desarrollo</t>
  </si>
  <si>
    <t>Fecha de Ultimo Cambio
Aprobado</t>
  </si>
  <si>
    <t>Dificultad</t>
  </si>
  <si>
    <t>Afecta arquitectura</t>
  </si>
  <si>
    <t>Proceso</t>
  </si>
  <si>
    <t>No es interfaz</t>
  </si>
  <si>
    <t>Programa nuevo</t>
  </si>
  <si>
    <t>Alta</t>
  </si>
  <si>
    <t>Requerimientos no funcionales (RNOF)</t>
  </si>
  <si>
    <t>Descripción de requerimiento no funcional</t>
  </si>
  <si>
    <t>Id Req Usuario Asociado</t>
  </si>
  <si>
    <t>Id Requerimiento observado</t>
  </si>
  <si>
    <t>Observaciones a los requerimientos</t>
  </si>
  <si>
    <t>Fecha</t>
  </si>
  <si>
    <t>Análisis y Diseño</t>
  </si>
  <si>
    <t>Revisión por Sura</t>
  </si>
  <si>
    <t xml:space="preserve"> Req SURA</t>
  </si>
  <si>
    <t>Consideraciones</t>
  </si>
  <si>
    <t>Esfuerzo estimado para el análisis y diseño en Horas/Hombre.</t>
  </si>
  <si>
    <t>Estimación H/H (Calculado)</t>
  </si>
  <si>
    <t>Hoja "Requerimientos de usuario"</t>
  </si>
  <si>
    <t>Cabecera</t>
  </si>
  <si>
    <t>Línea de Producción</t>
  </si>
  <si>
    <t>Se registra el nombre de la línea de producción</t>
  </si>
  <si>
    <t>Contacto</t>
  </si>
  <si>
    <t>Se registra el nombre del contacto de la línea de producción o la persona asignada para el tema</t>
  </si>
  <si>
    <t>Detalle</t>
  </si>
  <si>
    <t>Se registra el número de la OT generada.</t>
  </si>
  <si>
    <t>Se registra el código correlativo del requerimiento del usuario</t>
  </si>
  <si>
    <t>Se registra una breve descripción del requerimiento del usuario</t>
  </si>
  <si>
    <t>Se registra el nombre del sistema al que pertenece el requerimientos</t>
  </si>
  <si>
    <t>Almacena la fecha del último cambio realizado a la descripción del requerimiento</t>
  </si>
  <si>
    <t xml:space="preserve">Este campo sumará las horas correspondientes a los RSIS relacionados al RUSU.  </t>
  </si>
  <si>
    <t>Hoja "Requerimientos de sistema"</t>
  </si>
  <si>
    <t>Se registra el número de la OT generada</t>
  </si>
  <si>
    <t>Se registra el código correlativo del requerimiento del usuario, código generado en la hoja "Requerimientos de usuario"</t>
  </si>
  <si>
    <t>Se registra el código correlativo del requerimiento sistema.</t>
  </si>
  <si>
    <t>Breve descripción del requerimiento de sistemas.</t>
  </si>
  <si>
    <t>Representa el tipo de programa que debe ser construido.
Usado para clasificar los requerimientos y planificar el trabajo. Pueden ser del tipo: Proceso, Interactivo ó Reporte</t>
  </si>
  <si>
    <t>Breve descripción del escenario del requerimiento</t>
  </si>
  <si>
    <t>Representa el tipo de trabajo que es necesario hacer para implementar el requerimiento.
Usado en el análisis de impacto de requerimientos. Pueden ser: Programa nuevo, Programa modificado ó Funcionalidad eliminada</t>
  </si>
  <si>
    <t xml:space="preserve">Representa si el requerimiento ha sido mantenido desde que fue incorporado al alcance del sistema.
Usado para determinar la volatilidad de los requerimientos, pueden ser: Original, Cambio solicitado, Cambiado o Eliminado.
Considerar:
* Original: debe aparecer por defecto, ya que es la primera versión de la OT (cuando se crea).
* Cambio solicitado: Es cuando el consultor observa el requerimiento, y nos proporciona el sustento técnico
* Cambiado: cuando el consultor sólo nos observa, y GMD proporciona la solución
* Eliminado: es cuando el requerimiento ha sido desestimado. </t>
  </si>
  <si>
    <t>Almacenar la Fecha del Ultimo Cambio Aprobado</t>
  </si>
  <si>
    <t>Representa el nivel de esfuerzo asociado al requerimiento. Pueden ser: Alta, Media o Baja</t>
  </si>
  <si>
    <t>Usado para estimaciones</t>
  </si>
  <si>
    <t>Representa si el requerimiento es relevante para la arquitectura del sistema.
Usado para priorizar los requerimientos, los que son relevantes para la arquitectura deben ser desarrollados primero. Pueden ser: Si o No</t>
  </si>
  <si>
    <t>Hoja "Requerimientos no funcionales"</t>
  </si>
  <si>
    <t>Representa el código único del requerimiento no funcional</t>
  </si>
  <si>
    <t>Descripción del requerimiento no funcional. Usado como referencia rápida del requerimiento no funcional.</t>
  </si>
  <si>
    <t>Representa si el requerimiento ha sido mantenido desde que fue incorporado al alcance del sistema.
Usado para determinar la volatilidad de los requerimientos, pueden ser: Original, Cambio solicitado, Cambiado o Eliminado</t>
  </si>
  <si>
    <t>Fecha de Ultimo Cambio Aprobado</t>
  </si>
  <si>
    <t>Se registra el código del usuario que esta referenciado al requerimiento</t>
  </si>
  <si>
    <t>Indica el código de Requerimiento (Usuario, Sistemas o No Funcionales)</t>
  </si>
  <si>
    <t>Descripción de la observación realizada a alguno de los tipos de requerimientos seleccionados</t>
  </si>
  <si>
    <t>Fecha de Registro de la observación</t>
  </si>
  <si>
    <t>Req SURA</t>
  </si>
  <si>
    <t>Se registra el número de requerimiento de Sura.</t>
  </si>
  <si>
    <t>Este campo sumará el total de horas que se han calculado en la lista maestra de requerimientos.</t>
  </si>
  <si>
    <t>Id Req no funcional</t>
  </si>
  <si>
    <t xml:space="preserve">Análisis </t>
  </si>
  <si>
    <t>Atributo</t>
  </si>
  <si>
    <t>Descripción del atributo</t>
  </si>
  <si>
    <t>Valores</t>
  </si>
  <si>
    <t>Aplica a estos tipos de requerimiento</t>
  </si>
  <si>
    <t>Representa si el requerimiento es relevante para la arquitectura del sistema.
Usado para priorizar los requerimientos, los que son relevantes para la arquitectura deben ser desarrollados primero.</t>
  </si>
  <si>
    <t>RSIS</t>
  </si>
  <si>
    <t>Representa el nombre de la persona que puede proveer información sobre el requerimiento.
Usado para asegurar que se cuenta con toda la información requerida para implementar el requerimiento.</t>
  </si>
  <si>
    <t>RNOF, RSIS, RUSU</t>
  </si>
  <si>
    <t>Descripción de requerimiento de sistema o use case</t>
  </si>
  <si>
    <t>Descripción corta del requerimiento en términos del sistema que se debe construir o mantener.
Usado como referencia rápida o breve descripción del documento donde está desarrollado el requerimiento.</t>
  </si>
  <si>
    <t>Texto</t>
  </si>
  <si>
    <t>Descripción del requerimiento expresado por el usuario.
Usado como referencia rápida del requerimiento de usuario.</t>
  </si>
  <si>
    <t>RUSU</t>
  </si>
  <si>
    <t>RNOF</t>
  </si>
  <si>
    <t xml:space="preserve">Representa el nivel de esfuerzo asociado al requerimiento.
</t>
  </si>
  <si>
    <t>Media</t>
  </si>
  <si>
    <t>Baja</t>
  </si>
  <si>
    <t>Representa la descripción del escenario del requerimiento del sistema.
Usado como referencia rápida o breve descripción del escenario operacional del requerimiento del sistema descrito en detalle en el documento donde está desarrollado el requerimiento.</t>
  </si>
  <si>
    <t>Estabilidad</t>
  </si>
  <si>
    <t>Representa la probabilidad que el requerimiento No cambie.
Usado para establecer las prioridades del desarrollo y determinar si es necesaria mayor información sobre el requerimiento.</t>
  </si>
  <si>
    <t>RNOF, RUSU</t>
  </si>
  <si>
    <t>Representa el número del escenario operacional del requerimiento de sistema.
Usado para saber cuantos escenarios tiene cada requerimiento de sistema.</t>
  </si>
  <si>
    <t>Id Req No Fun</t>
  </si>
  <si>
    <t>Representa el código único del requerimiento del sistema.
Usado como llave.</t>
  </si>
  <si>
    <t>Representa el código único del requerimiento de usuario que ha generado este requerimiento de sistema.
Usado como llave.</t>
  </si>
  <si>
    <t>RSIS, RUSU</t>
  </si>
  <si>
    <t>Iteración</t>
  </si>
  <si>
    <t>Representa la iteración en que el requerimiento será implementado.
Usado para planificar las iteraciones del proyecto</t>
  </si>
  <si>
    <t>Iteración de puesta en producción. Si el desarrollo no es iterativo poner siempre 1.</t>
  </si>
  <si>
    <t>Estimaciones</t>
  </si>
  <si>
    <t>Módulo</t>
  </si>
  <si>
    <t>Representa el módulo del sistema.
Usado para organizar el sistema en módulos.</t>
  </si>
  <si>
    <t>Origen</t>
  </si>
  <si>
    <t>Representa la fuente del requerimiento.
Usado para validar el requerimiento con las personas o grupos afectados</t>
  </si>
  <si>
    <t>Propuesta u OT original</t>
  </si>
  <si>
    <t>Solicitud de Manejo de Cambios</t>
  </si>
  <si>
    <t>Requerimientos no funcionales específicos</t>
  </si>
  <si>
    <t>Representa el o los códigos de requerimientos no funcionales.
Usado para establecer una relación directa entre requerimientos del sistema y requerimientos no funcionales</t>
  </si>
  <si>
    <t>Lista de códigos únicos de requerimientos no funcionales asociados a este requerimiento del sistema</t>
  </si>
  <si>
    <t>Representa el nombre del sistema para el que se establece este requerimiento.
Usado para organizar los requerimientos.</t>
  </si>
  <si>
    <t>Representa si el requerimiento ha sido mantenido desde que fue incorporado al alcance del sistema.
Usado para determinar la volatilidad de los requerimientos</t>
  </si>
  <si>
    <t>Cambio solicitado</t>
  </si>
  <si>
    <t>Cambiado</t>
  </si>
  <si>
    <t>Eliminado</t>
  </si>
  <si>
    <t>Sub Módulo</t>
  </si>
  <si>
    <t>Representa el sub módulo de un módulo del sistema.
Usado para organizar el módulo en sub módulos.</t>
  </si>
  <si>
    <t>Representa el tipo de trabajo que es necesario hacer para implementar el requerimiento.
Usado en el análisis de impacto de requerimientos.</t>
  </si>
  <si>
    <t>Programa modificado</t>
  </si>
  <si>
    <t>Funcionalidad eliminada</t>
  </si>
  <si>
    <t>Tipo de flujo</t>
  </si>
  <si>
    <t>Representa el tipo de escenario operacional del requerimiento.
Usado para tipificar los flujos o escenarios de los requerimientos de sistemas.</t>
  </si>
  <si>
    <t>Flujo principal</t>
  </si>
  <si>
    <t>Flujo alternativo</t>
  </si>
  <si>
    <t>Representa el tipo de programa que debe ser construido.
Usado para clasificar los requerimientos y planificar el trabajo.</t>
  </si>
  <si>
    <t>Interactivo</t>
  </si>
  <si>
    <t>Reporte</t>
  </si>
  <si>
    <t>Requerimientos que representan las interfaces internas o externas al producto del proyecto.</t>
  </si>
  <si>
    <t>Interfaz externa</t>
  </si>
  <si>
    <t>Interfaz interna</t>
  </si>
  <si>
    <t>Representa la fecha en que se aprobó por parte del consultor responsable el último cambio solicitado.
Tener en cuenta las siguientes consideraciones:
1. Todo requerimiento cuando es enviado por primera vez por el consultor, está en Situación "Original", y el cambio se mantiene en blanco.
2. Para el caso en que se ha solicitado un cambio a un requerimiento, pero este no fue aprobado, se mantiene con la última fecha de cambio aprobado o si es la primera vez que solicita el cambio la fecha se mantiene en blanco</t>
  </si>
  <si>
    <t>texto (fecha)</t>
  </si>
  <si>
    <t>Valor</t>
  </si>
  <si>
    <t>Descripción del valor</t>
  </si>
  <si>
    <t>Altamente dificultoso, en términos de esfuerzo, dinero o riesgo que involucran. Se debe resolver al inicio si se implementan o se descartan.</t>
  </si>
  <si>
    <t>Dificultosos pero pueden resolverse sin exponer el proyecto a riesgos, deben ser atacados sólo después de que los requerimientos de dificultad alta han sido implementados o descartados.</t>
  </si>
  <si>
    <t>Deben ser implementados al final.</t>
  </si>
  <si>
    <t>No se tienen indicios o razones para esperar cambios en ellos. Se puede continuar con las siguientes fases del proyecto con ellos.</t>
  </si>
  <si>
    <t>Pueden cambiar, pero son lo suficientemente estables para proceder con las siguientes fases del proyecto con ellos.</t>
  </si>
  <si>
    <t>Se tienen indicios que pueden cambiar. Es necesario terminar de definirlos y autorizarlos antes de proceder con las siguientes etapas del trabajo.</t>
  </si>
  <si>
    <t>Propuesta original</t>
  </si>
  <si>
    <t>El requerimiento nació en la propuesta original.</t>
  </si>
  <si>
    <t>Comité de Manejo de Cambios</t>
  </si>
  <si>
    <t>El requerimiento nació durante la ejecución del proyecto producto de un manejo de cambios.</t>
  </si>
  <si>
    <t>Requerimiento que ha tenido ninguna solicitud de cambio.</t>
  </si>
  <si>
    <t>Requerimiento con una solicitud de cambio en curso.</t>
  </si>
  <si>
    <t>El requerimiento ha cambiado producto de la aprobación de una solicitud de cambio.</t>
  </si>
  <si>
    <t>El requerimiento ha sido descartado producto de una solicitud de cambio</t>
  </si>
  <si>
    <t>Para implementar el requerimiento se debe crear un nuevo programa.</t>
  </si>
  <si>
    <t>Para implementar el requerimiento se debe modificar un programa existente.</t>
  </si>
  <si>
    <t>Funcionalidad Eliminada</t>
  </si>
  <si>
    <t>Para implementar el requerimiento se debe eliminar la funcionalidad descrita.</t>
  </si>
  <si>
    <t>Requerimiento que aplica cálculos, algoritmos u otros procesamientos a los datos de entrada con la finalidad de producir un resultado intermedio o final.</t>
  </si>
  <si>
    <t>Programa con el que el usuario interactúa directamente, para labores como ingreso de datos, solicitud de impresión de reportes o cualquier otro mecanismo de captura de datos ejecutado por el usuario.</t>
  </si>
  <si>
    <t>Consultas en pantalla, reportes, cualquier otro mecanismo de despliegue de información para el usuario.</t>
  </si>
  <si>
    <t>No es un requerimiento de interfaz</t>
  </si>
  <si>
    <t>Requerimiento de interfaz externa al producto del proyecto.</t>
  </si>
  <si>
    <t>Requerimiento de interfaz entre las partes de los internas del producto de proyecto.</t>
  </si>
  <si>
    <t>LP07</t>
  </si>
  <si>
    <t>LP08</t>
  </si>
  <si>
    <t>LP09</t>
  </si>
  <si>
    <t>Aplicaciones</t>
  </si>
  <si>
    <t>7.7.1.2.1.R13 Modelo de análisis.doc</t>
  </si>
  <si>
    <t>7.7.1.2.1.R14 Modelo de diseño.doc</t>
  </si>
  <si>
    <t>8.6.2.R18 Realiza Peer Review_SURA.xlsm</t>
  </si>
  <si>
    <t>HISTORIAL DE LAS REVISIONES</t>
  </si>
  <si>
    <t>Item</t>
  </si>
  <si>
    <t>Autor</t>
  </si>
  <si>
    <t>Responsable de Revisión y/o Aprobación</t>
  </si>
  <si>
    <t>Aprobado</t>
  </si>
  <si>
    <t>En revisión</t>
  </si>
  <si>
    <t>PLANTILLA EVALUACIÓN DE OT</t>
  </si>
  <si>
    <t>7.7.5.1.01.R11</t>
  </si>
  <si>
    <t>Gian Molina</t>
  </si>
  <si>
    <t>OM00726: Versión inicial del artefacto</t>
  </si>
  <si>
    <t>Esfuerzo estimado para la construcción en Horas/Hombre.  Debe coincidir con las horas indicadas en la Hoja "Requerimientos del sistema"</t>
  </si>
  <si>
    <t>Documentar la planificación de la atención de la OT, asi también como transformar la necesidad del usuario en requerimientos de usuario, de sistema y no funcionales.</t>
  </si>
  <si>
    <t>Fuera de alcance, requerimientos del Consultor no considerados dentro del alcance (no están en la LR)
Dependencias, dependencias con otros planes / proyectos
Condiciones, condiciones necesarias para la ejecución de esta OT</t>
  </si>
  <si>
    <t>Hoja "Consideraciones"</t>
  </si>
  <si>
    <t>Sección "Fuera del alcance"</t>
  </si>
  <si>
    <t>Sección "Dependencias"</t>
  </si>
  <si>
    <t>Sección "Condiciones"</t>
  </si>
  <si>
    <t>Requerimientos de usuario (RUSU) Estos son los requerimientos que reflejan las necesidades de los usuarios. Descomposición de lo que viene expresado en el OT.</t>
  </si>
  <si>
    <t>Requerimientos de usuario</t>
  </si>
  <si>
    <t>Estos requerimientos son un refinamiento de los requerimientos de usuario y reflejan lo que el producto a construir o modificar debe tener para satisfacer a los usuarios. Si el requerimiento de Usuario requiere la elaboración de uno o más script's, el analista de sistemas deberá detallar la funcionalidad de cada uno de ellos.</t>
  </si>
  <si>
    <t>Requerimientos del sistema</t>
  </si>
  <si>
    <t>Requerimientos no funcionales</t>
  </si>
  <si>
    <t>Estos requerimientos adicionales que no representan una funcionalidad que deba ser construida en el producto del proyecto, pero que pueden afectar el desarrollo, ejemplo de esto son: Requerimientos de performance, de mantenibilidad, etc</t>
  </si>
  <si>
    <t>Observaciones a la LR</t>
  </si>
  <si>
    <t>Observaciones a la Lista Maestra de Requerimientos.</t>
  </si>
  <si>
    <t>Diccionario de atributos</t>
  </si>
  <si>
    <t>Diccionario de valores</t>
  </si>
  <si>
    <t>Lista de valores que pueden tomar los atributos, y descripciones de las mismas.</t>
  </si>
  <si>
    <t>Lista de atributos relacionados a los requerimientos de usuario, requerimientos de sistema y requerimientos no funcionales.</t>
  </si>
  <si>
    <t>Equipo/Jefe QA SURA</t>
  </si>
  <si>
    <t>Equipo QA SURA</t>
  </si>
  <si>
    <t>Jefe QA SURA</t>
  </si>
  <si>
    <t>Parámetros para las otras hojas</t>
  </si>
  <si>
    <t>7.7.5.1.01.R11 Plantilla Evaluación de OT.xlsm</t>
  </si>
  <si>
    <t>Hoja "Registro de Cambios"</t>
  </si>
  <si>
    <t>Hoja</t>
  </si>
  <si>
    <t xml:space="preserve">Indicar versión </t>
  </si>
  <si>
    <t>Fecha de registro de la versión</t>
  </si>
  <si>
    <t>Autor del registro de la versión</t>
  </si>
  <si>
    <r>
      <t xml:space="preserve">Indicar si es creación o modificación del documento
Si es creación = Ingresar </t>
    </r>
    <r>
      <rPr>
        <b/>
        <sz val="9"/>
        <rFont val="Arial"/>
        <family val="2"/>
      </rPr>
      <t>"</t>
    </r>
    <r>
      <rPr>
        <sz val="9"/>
        <rFont val="Arial"/>
        <family val="2"/>
      </rPr>
      <t>Creación del documento</t>
    </r>
    <r>
      <rPr>
        <b/>
        <sz val="9"/>
        <rFont val="Arial"/>
        <family val="2"/>
      </rPr>
      <t>"</t>
    </r>
    <r>
      <rPr>
        <sz val="9"/>
        <rFont val="Arial"/>
        <family val="2"/>
      </rPr>
      <t xml:space="preserve">
Si es modificación = Indicar los cambios realizados</t>
    </r>
  </si>
  <si>
    <t>Hector Vera</t>
  </si>
  <si>
    <t xml:space="preserve">Julio Desposorio </t>
  </si>
  <si>
    <t xml:space="preserve">David Galvez </t>
  </si>
  <si>
    <t>Luis Polo        </t>
  </si>
  <si>
    <t>Jorge Morales</t>
  </si>
  <si>
    <t>CHECKLIST DE VERIFICACION DE REQUERIMIENTO DE SISTEMAS</t>
  </si>
  <si>
    <t>Enunciado/Criterio</t>
  </si>
  <si>
    <t>Respuesta</t>
  </si>
  <si>
    <t>Los requerimientos de sistemas han cubierto todos los requerimientos de usuario</t>
  </si>
  <si>
    <t>Los requerimientos de sistemas están escritos de manera atómica en la LR, es decir son estimables y se pueden probar</t>
  </si>
  <si>
    <r>
      <t xml:space="preserve">El esfuerzo (horas hombre) de la Implementación del Requerimiento de Sistema debe ser menor o igual </t>
    </r>
    <r>
      <rPr>
        <b/>
        <sz val="10"/>
        <color indexed="10"/>
        <rFont val="Arial"/>
        <family val="2"/>
      </rPr>
      <t>a 40 horas</t>
    </r>
    <r>
      <rPr>
        <sz val="10"/>
        <rFont val="Arial"/>
        <family val="2"/>
      </rPr>
      <t>, de no ser asi dividirlo en varios Requerimientos de Sistemas</t>
    </r>
  </si>
  <si>
    <t>Se ha identificado que el requerimiento de sistemas tiene impacto en otro módulo y/o submódulos (interfaz)</t>
  </si>
  <si>
    <t>Los requerimientos de sistemas son consistentes unos con otros, es decir no se contradicen con otros requerimientos de sistemas</t>
  </si>
  <si>
    <t>Todos los requerimientos de sistemas son realmente necesarios</t>
  </si>
  <si>
    <t>Nota:</t>
  </si>
  <si>
    <t>Para continuar con el desarrollo del requerimiento, es obligatorio que todas las respuestas sean afirmativas y/o tengan la opción "NO APLICA".</t>
  </si>
  <si>
    <t>Diccionario de atributos de la Lista de Requerimientos</t>
  </si>
  <si>
    <t>Diccionario de valores de atributos de la Lista de Requerimientos</t>
  </si>
  <si>
    <t>Observaciones a la Lista de Requerimientos</t>
  </si>
  <si>
    <t>Requiere actualización</t>
  </si>
  <si>
    <t>Requiere actualización.
Para OT´s grandes, en caso de no existir debe crearse si corresponde.</t>
  </si>
  <si>
    <t>Esta hoja detalla los cambios realizados en el documento.
La versión 1.0 indica creación , de 2.0 en adelante indica actualización del documento.</t>
  </si>
  <si>
    <t>Se deberá indicar el Consultor "Solicita" la aprobación de la fase de evaluación.</t>
  </si>
  <si>
    <t>Se deberá indicar el Consultor "Solicita" la aprobación de la fase de Análisis y Diseño.</t>
  </si>
  <si>
    <t>Estimación total en Horas/Hombre de la atención de la OT (sumatoria de los esfuerzos de análisis / diseño, construcción y pruebas internas).
Como referencia se puede usar la "Calculadora de Estimaciones" colocando el total de horas de construcción. Se mostrará automáticamente el total estimado para el análisis y la realización de pruebas internas y testing.
Se debe considerar el esfuerzo total, como si se trabajara con un solo recurso.</t>
  </si>
  <si>
    <t>Este tipo de OT´s se consideran como "Pequeñas" cuando su atención requiere  &lt;= 4 días/hombre ó &lt;= 32 horas/hombre.
Se activará en la hoja "Entregables" una columna de color naranja, cada que le corresponda.
Se considera como "necesario" la generación de los siguientes artefactos:
 7.7.5.1.01.R11 Plantilla Evaluación de OT.xlsm
7.7.1.2.1.R14 Modelo de diseño.doc
7.7.1.2.1.R17 Pase a Pruebas.doc
7.7.1.2.1.R15 Casos de prueba.xls
8.6.2.R18 Realiza Peer Review_SURA.xls</t>
  </si>
  <si>
    <t>7.7.1.2.1.R15 Casos de prueba.xlsm</t>
  </si>
  <si>
    <t>7.7.1.2.1.R17 Pase a Pruebas.doc</t>
  </si>
  <si>
    <t>7.7.1.2.1.R18 Manual de Usuario.doc</t>
  </si>
  <si>
    <t>7.7.1.2.1.R19 Manual de Operación.doc</t>
  </si>
  <si>
    <t>Esfuerzo estimado para la realización de las pruebas internas en Horas/Hombre.
En este campo estará incluido el tiempo requeridos para la realización de las siguientes pruebas:
1. Pruebas de calidad.
2. Pruebas Internas (Pruebas Funcionales)
3. QA Técnico (uso de los Checklist de QA)
4. QA de Proceso
5. Testing
Esta actividad es realizada por recursos  diferentes a los que realizan la construcción.</t>
  </si>
  <si>
    <t>Este tipo de OT´s se consideran como "Grande" cuando su atención requiere entre 23 a 44 días/hombre ó 177 a 352 horas/hombre.
Se activará en la hoja "Entregables" una columna de color naranja, cada que le corresponda.
Se considera como "necesario" la generación de los siguientes artefactos:
7.7.5.1.01.R11 Plantilla Evaluación de OT.xlsm
7.7.1.2.1.R14 Modelo de diseño.doc
7.7.1.2.1.R15 Casos de prueba.xls
7.7.1.2.1.R17 Pase a Pruebas.doc
8.6.2.R18 Realiza Peer Review_SURA.xlsm
Y opcional a los siguientes artefactos:
7.7.1.2.1.R13 Modelo de análisis.doc
7.7.1.2.1.R18 Manual de Usuario.doc
7.7.1.2.1.R19 Manual de Operación.doc</t>
  </si>
  <si>
    <t>Este tipo de OT´s se consideran como "Mediana" cuando su atención requiere entre 5 a 22 días/hombre ó 33 a 176 horas/hombre.
Se activará en la hoja "Entregables" una columna de color naranja, cada que le corresponda.
Se considera como "necesario" la generación de los siguientes artefactos:
7.7.5.1.01.R11 Plantilla Evaluación de OT.xlsm
7.7.1.2.1.R14 Modelo de diseño.doc
7.7.1.2.1.R15 Casos de prueba.xls
7.7.1.2.1.R17 Pase a Pruebas.doc
8.6.2.R18 Realiza Peer Review_SURA.xlsm</t>
  </si>
  <si>
    <t>Identifica el código de escenario que se genera.
Se debe considerar, los escenarios que se van a considerar en el Caso de Prueba, la nomenclatura es: ES00X</t>
  </si>
  <si>
    <t>Hoja "Observaciones a la LR"</t>
  </si>
  <si>
    <t>Requerimientos que representan las interfaces internas o externas al producto del proyecto. Pueden ser: No es interfaz, Interfaz externa ó Interfaz interna
Se debe considerar, por defecto que No es interfaz
* Interfaz externa: Aplicaciones que no son de Seguros SURA (SUCAVE, AFPNET, etc)
* Interfaz interna: Otras aplicaciones con las cuales tiene relación (por ejemplo si se está trabajando una OT de Beneficios y tiene que interrelacionarse con Cobranzas)</t>
  </si>
  <si>
    <t>Se incorpora línea 10 y actualizan datos de Analista y consultor.</t>
  </si>
  <si>
    <t>Arturo Ponce</t>
  </si>
  <si>
    <t>Davis Rixi</t>
  </si>
  <si>
    <t>LP10</t>
  </si>
  <si>
    <t>ACS</t>
  </si>
  <si>
    <t>ECOL</t>
  </si>
  <si>
    <t>EIND</t>
  </si>
  <si>
    <t>EPAD</t>
  </si>
  <si>
    <t>EPRE</t>
  </si>
  <si>
    <t>GSBF</t>
  </si>
  <si>
    <t>PCAL</t>
  </si>
  <si>
    <t>PBO</t>
  </si>
  <si>
    <t>PGOT</t>
  </si>
  <si>
    <t>PMS</t>
  </si>
  <si>
    <t>PRV</t>
  </si>
  <si>
    <t>PSIC</t>
  </si>
  <si>
    <t>PVI</t>
  </si>
  <si>
    <t>RSUR</t>
  </si>
  <si>
    <t>WADM</t>
  </si>
  <si>
    <t>EFIL</t>
  </si>
  <si>
    <t>EREQ</t>
  </si>
  <si>
    <t>BFAM</t>
  </si>
  <si>
    <t>TSUR</t>
  </si>
  <si>
    <t>AUSU</t>
  </si>
  <si>
    <t>ECON</t>
  </si>
  <si>
    <t>DUNA</t>
  </si>
  <si>
    <t>SPRE</t>
  </si>
  <si>
    <t>SWEB</t>
  </si>
  <si>
    <t>Se habilitó selección para elección si/no de las celdas de análisis y diseño de la pestaña "Entregables".</t>
  </si>
  <si>
    <t>Fernando Bustamante</t>
  </si>
  <si>
    <t>Ronald Idone</t>
  </si>
  <si>
    <t>Se actualizó nombre de Analistas</t>
  </si>
  <si>
    <t>Versión: 4.0</t>
  </si>
  <si>
    <t>Fecha: 07/05/2014</t>
  </si>
  <si>
    <t>Cargo/Rol</t>
  </si>
  <si>
    <t>Equipo Calidad</t>
  </si>
  <si>
    <t>Revisor</t>
  </si>
  <si>
    <t>Creación del documento</t>
  </si>
  <si>
    <t>RUSU001</t>
  </si>
  <si>
    <t>Edwin Poma</t>
  </si>
  <si>
    <t>Edwin Meza</t>
  </si>
  <si>
    <t>RSIS001</t>
  </si>
  <si>
    <t>RUSU002</t>
  </si>
  <si>
    <t>RUSU003</t>
  </si>
  <si>
    <t>Marcelo Meza</t>
  </si>
  <si>
    <t>Carla Avendaño</t>
  </si>
  <si>
    <t>Luis Marcilla</t>
  </si>
  <si>
    <t>RNOF001</t>
  </si>
  <si>
    <t>La atención se realizará siguiendo los estándares de la fábrica</t>
  </si>
  <si>
    <t>RNOF002</t>
  </si>
  <si>
    <t>SERVICIO WEB</t>
  </si>
  <si>
    <r>
      <rPr>
        <b/>
        <sz val="10"/>
        <rFont val="Arial"/>
        <family val="2"/>
      </rPr>
      <t>SP_VALIDAR_EXPIRACION.sql</t>
    </r>
    <r>
      <rPr>
        <sz val="10"/>
        <rFont val="Arial"/>
        <family val="2"/>
      </rPr>
      <t xml:space="preserve">
Crear el Stored Procedure SP_VALIDAR_EXPIRACION, que reciba como parámetro el usuario, y devuelva la cantidad de días para su expiración.</t>
    </r>
  </si>
  <si>
    <r>
      <rPr>
        <b/>
        <sz val="10"/>
        <color theme="1"/>
        <rFont val="Arial"/>
        <family val="2"/>
      </rPr>
      <t>Invita.General.EntidadesNegocio</t>
    </r>
    <r>
      <rPr>
        <sz val="10"/>
        <color theme="1"/>
        <rFont val="Arial"/>
        <family val="2"/>
      </rPr>
      <t xml:space="preserve">
Crear el proyecto y agregar a la solución</t>
    </r>
  </si>
  <si>
    <r>
      <rPr>
        <b/>
        <sz val="10"/>
        <color theme="1"/>
        <rFont val="Arial"/>
        <family val="2"/>
      </rPr>
      <t>Invita.General.CodigoUsuario</t>
    </r>
    <r>
      <rPr>
        <sz val="10"/>
        <color theme="1"/>
        <rFont val="Arial"/>
        <family val="2"/>
      </rPr>
      <t xml:space="preserve">
Crear el proyecto y agregar a la solución</t>
    </r>
  </si>
  <si>
    <t>El soporte no se encargará de Crear en todos las aplicaciones de login el uso del servicio web, sino que sera implementada solo para el Eindi.</t>
  </si>
  <si>
    <t>AJUSTE EN LA PANTALLA LOGIN DEL SISTEMA EINDI</t>
  </si>
  <si>
    <t>Crear la ruta de fisica de Log del Servicio y del Nuevo Aplicativo, además de dar los permisos de lectura y escritura para tal carpeta</t>
  </si>
  <si>
    <t>Se tendrá que tener permiso para la carpeta ErrorWeb de Lectura y escritura.</t>
  </si>
  <si>
    <t>ES001</t>
  </si>
  <si>
    <t>Renovación de Contraseña</t>
  </si>
  <si>
    <r>
      <rPr>
        <b/>
        <sz val="10"/>
        <color theme="1"/>
        <rFont val="Arial"/>
        <family val="2"/>
      </rPr>
      <t>ServicioWCF</t>
    </r>
    <r>
      <rPr>
        <sz val="10"/>
        <color theme="1"/>
        <rFont val="Arial"/>
        <family val="2"/>
      </rPr>
      <t xml:space="preserve">
crear el servicio ServicioWCF</t>
    </r>
  </si>
  <si>
    <r>
      <rPr>
        <b/>
        <sz val="10"/>
        <color theme="1"/>
        <rFont val="Arial"/>
        <family val="2"/>
      </rPr>
      <t>CambioContrasenia</t>
    </r>
    <r>
      <rPr>
        <sz val="10"/>
        <color theme="1"/>
        <rFont val="Arial"/>
        <family val="2"/>
      </rPr>
      <t xml:space="preserve">
Crear el proyecto CambioContrasenia con sus respectivas carpetas internas: Paginas, Estilos y JS, ademas de agregar la referencia web ServicioWCF para la creación del proxy.</t>
    </r>
  </si>
  <si>
    <r>
      <rPr>
        <b/>
        <sz val="10"/>
        <color theme="1"/>
        <rFont val="Arial"/>
        <family val="2"/>
      </rPr>
      <t>Sist_eIndi_Invita</t>
    </r>
    <r>
      <rPr>
        <sz val="10"/>
        <color theme="1"/>
        <rFont val="Arial"/>
        <family val="2"/>
      </rPr>
      <t xml:space="preserve">
Agregar la referencia web, al proyecto Sist_Eindi</t>
    </r>
  </si>
  <si>
    <t>RSIS002</t>
  </si>
  <si>
    <t>RSIS003</t>
  </si>
  <si>
    <t>RSIS004</t>
  </si>
  <si>
    <t>RSIS005</t>
  </si>
  <si>
    <t>RSIS006</t>
  </si>
  <si>
    <t>RSIS007</t>
  </si>
  <si>
    <t>RSIS008</t>
  </si>
  <si>
    <t>RSIS009</t>
  </si>
  <si>
    <t>RSIS012</t>
  </si>
  <si>
    <t>RSIS014</t>
  </si>
  <si>
    <t>RSIS015</t>
  </si>
  <si>
    <t>RSIS016</t>
  </si>
  <si>
    <t>RSIS017</t>
  </si>
  <si>
    <t>RSIS018</t>
  </si>
  <si>
    <t>RSIS019</t>
  </si>
  <si>
    <t>RSIS020</t>
  </si>
  <si>
    <t>RSIS021</t>
  </si>
  <si>
    <t>RSIS022</t>
  </si>
  <si>
    <t>RSIS023</t>
  </si>
  <si>
    <t>RSIS024</t>
  </si>
  <si>
    <t>RSIS025</t>
  </si>
  <si>
    <r>
      <rPr>
        <b/>
        <sz val="10"/>
        <rFont val="Arial"/>
        <family val="2"/>
      </rPr>
      <t>SP_ACTUALIZAR_CONTRASENIA.sql</t>
    </r>
    <r>
      <rPr>
        <sz val="10"/>
        <rFont val="Arial"/>
        <family val="2"/>
      </rPr>
      <t xml:space="preserve">
Crear el Stored Procedure SP_ACTUALIZAR_CONTRASENIA, que reciba como parámetro el usuario, el password actual y el nuevo password y devuelva la cantidad de filas afectadas.</t>
    </r>
  </si>
  <si>
    <t>PARAMETRO DE CONTRASEÑA</t>
  </si>
  <si>
    <t>APLICATIVO WEB: PANTALLA DE CAMBIO DE CONTRASEÑA</t>
  </si>
  <si>
    <r>
      <rPr>
        <b/>
        <sz val="10"/>
        <color theme="1"/>
        <rFont val="Arial"/>
        <family val="2"/>
      </rPr>
      <t>Invita.eIndi.EntidadesNegocio</t>
    </r>
    <r>
      <rPr>
        <sz val="10"/>
        <color theme="1"/>
        <rFont val="Arial"/>
        <family val="2"/>
      </rPr>
      <t xml:space="preserve">
Crear el proyecto y agregar a la solución del Servicio.</t>
    </r>
  </si>
  <si>
    <r>
      <rPr>
        <b/>
        <sz val="10"/>
        <color theme="1"/>
        <rFont val="Arial"/>
        <family val="2"/>
      </rPr>
      <t>Invita.eIndi.AccesoDatos</t>
    </r>
    <r>
      <rPr>
        <sz val="10"/>
        <color theme="1"/>
        <rFont val="Arial"/>
        <family val="2"/>
      </rPr>
      <t xml:space="preserve">
Crear el proyecto y agregar a la solución del Servicio.</t>
    </r>
  </si>
  <si>
    <r>
      <rPr>
        <b/>
        <sz val="10"/>
        <color theme="1"/>
        <rFont val="Arial"/>
        <family val="2"/>
      </rPr>
      <t>Invita.eIndi.ReglasNegocio</t>
    </r>
    <r>
      <rPr>
        <sz val="10"/>
        <color theme="1"/>
        <rFont val="Arial"/>
        <family val="2"/>
      </rPr>
      <t xml:space="preserve">
Crear el proyecto y agregar a la solución del Servicio.</t>
    </r>
  </si>
  <si>
    <r>
      <rPr>
        <b/>
        <sz val="10"/>
        <color theme="1"/>
        <rFont val="Arial"/>
        <family val="2"/>
      </rPr>
      <t>ucObjeto.cs</t>
    </r>
    <r>
      <rPr>
        <sz val="10"/>
        <color theme="1"/>
        <rFont val="Arial"/>
        <family val="2"/>
      </rPr>
      <t xml:space="preserve">
-Crear la clase ucObjeto, en el proyecto Invita.General.eIndi.CodigoUsuario.
-Crear el método estático y genérico Grabar que reciba como parámetro un objeto genérico y una ruta. Para el control de errores.</t>
    </r>
  </si>
  <si>
    <r>
      <rPr>
        <b/>
        <sz val="10"/>
        <color theme="1"/>
        <rFont val="Arial"/>
        <family val="2"/>
      </rPr>
      <t>LogBE.cs</t>
    </r>
    <r>
      <rPr>
        <sz val="10"/>
        <color theme="1"/>
        <rFont val="Arial"/>
        <family val="2"/>
      </rPr>
      <t xml:space="preserve">
Crear la clase LogBE, en el proyecto Invita.General.EntidadesNegocio. La cual se tendrá el mensaje y el detalle del error, además de la fecha y hora.</t>
    </r>
  </si>
  <si>
    <r>
      <rPr>
        <b/>
        <sz val="10"/>
        <color theme="1"/>
        <rFont val="Arial"/>
        <family val="2"/>
      </rPr>
      <t>GeneralNegocios.cs</t>
    </r>
    <r>
      <rPr>
        <sz val="10"/>
        <color theme="1"/>
        <rFont val="Arial"/>
        <family val="2"/>
      </rPr>
      <t xml:space="preserve">
-crear la clase GeneralNegocios, con dos atributos. CadenaConexion y ruta Log.
-crear en el constructor de la clase, la configuración de las rutas físicas que serán leídas del web config de rutaLog y cadena de conexión.
-crear el método GrabarLog, que reciba como parámetro un objeto de tipo Excepción, </t>
    </r>
  </si>
  <si>
    <r>
      <rPr>
        <b/>
        <sz val="10"/>
        <color theme="1"/>
        <rFont val="Arial"/>
        <family val="2"/>
      </rPr>
      <t>UsuarioBE.cs</t>
    </r>
    <r>
      <rPr>
        <sz val="10"/>
        <color theme="1"/>
        <rFont val="Arial"/>
        <family val="2"/>
      </rPr>
      <t xml:space="preserve">
Crear la clase UsuarioBE, en el proyecto Invita.eIndi.EntidadesNegocio, que tiene los parámetros para actualizar al usuario.</t>
    </r>
  </si>
  <si>
    <r>
      <rPr>
        <b/>
        <sz val="10"/>
        <color theme="1"/>
        <rFont val="Arial"/>
        <family val="2"/>
      </rPr>
      <t>UsuarioDA.cs</t>
    </r>
    <r>
      <rPr>
        <sz val="10"/>
        <color theme="1"/>
        <rFont val="Arial"/>
        <family val="2"/>
      </rPr>
      <t xml:space="preserve">
crear la clase UsuarioDA,en el proyecto Invita.eIndi.AccesoDatos que recibe como parámetro la conexión. Y devuelve un entero.
-crear el método ObtenerDiasRestantesParaExpiracion,que devuelve un objeto  un entero que abrirá la conexión a la base de datos
-Crear el método ActualizarContrasenaUsuario, que devuelve un entero, recibe como parámetro la conexión y un objeto de tipo usuario.</t>
    </r>
  </si>
  <si>
    <r>
      <rPr>
        <b/>
        <sz val="10"/>
        <color theme="1"/>
        <rFont val="Arial"/>
        <family val="2"/>
      </rPr>
      <t>UsuarioBR.cs</t>
    </r>
    <r>
      <rPr>
        <sz val="10"/>
        <color theme="1"/>
        <rFont val="Arial"/>
        <family val="2"/>
      </rPr>
      <t xml:space="preserve">
Crear la clase UsuarioBR, en el proyecto Invita.eIndi.ReglasNegocio. Y crear los siguientes métodos:
-ObtenerDiasRestantesParaExpiracion
-ActualizarContrasenaUsuario
los cuales utilizaran métodos de la clase de datos y además controlará los errores mediante un Log</t>
    </r>
  </si>
  <si>
    <r>
      <rPr>
        <b/>
        <sz val="10"/>
        <color theme="1"/>
        <rFont val="Arial"/>
        <family val="2"/>
      </rPr>
      <t>IEindi.cs</t>
    </r>
    <r>
      <rPr>
        <sz val="10"/>
        <color theme="1"/>
        <rFont val="Arial"/>
        <family val="2"/>
      </rPr>
      <t xml:space="preserve">
-crear el método ObtenerDiasRestantesParaExpiracion, el cual reciba como parámetro usuario y devuelva un objeto ResponseRespuestaBE
-crear el método ActualizarContrasenaUsuario, en el cual reciba como parámetros :usuario, passwordActual, passwordNuevo. Además devuelve un objeto de tipo ResponseRespuestaBE.</t>
    </r>
  </si>
  <si>
    <r>
      <rPr>
        <b/>
        <sz val="10"/>
        <color theme="1"/>
        <rFont val="Arial"/>
        <family val="2"/>
      </rPr>
      <t>Eindi.svc</t>
    </r>
    <r>
      <rPr>
        <sz val="10"/>
        <color theme="1"/>
        <rFont val="Arial"/>
        <family val="2"/>
      </rPr>
      <t xml:space="preserve">
-crear el método ObtenerDiasRestantesParaExpiracion, el cual reciba como parámetro usuario y devuelva un objeto ResponseRespuestaBE y si tiene un error, grabar en el Log de error.
-crear el método ActualizarContrasenaUsuario el cual reciba como parámetros usuario passwordActual, passwordNuevo y devuelva un objeto ResponseRespuestaBE y si tiene un error, grabar en el Log de error.</t>
    </r>
  </si>
  <si>
    <r>
      <rPr>
        <b/>
        <sz val="10"/>
        <color theme="1"/>
        <rFont val="Arial"/>
        <family val="2"/>
      </rPr>
      <t>CambioContrasenia.aspx</t>
    </r>
    <r>
      <rPr>
        <sz val="10"/>
        <color theme="1"/>
        <rFont val="Arial"/>
        <family val="2"/>
      </rPr>
      <t xml:space="preserve">
Crear la pagina CambioContrasenia que será la vista de la renovación de la contraseña aplicando estilos y validaciones javascript</t>
    </r>
  </si>
  <si>
    <r>
      <rPr>
        <b/>
        <sz val="10"/>
        <color theme="1"/>
        <rFont val="Arial"/>
        <family val="2"/>
      </rPr>
      <t>CambioContrasenia.aspx</t>
    </r>
    <r>
      <rPr>
        <sz val="10"/>
        <color theme="1"/>
        <rFont val="Arial"/>
        <family val="2"/>
      </rPr>
      <t xml:space="preserve">
se crearan los siguientes métodos:
RenovarContrasenia.- método que renueva la contraseña, tiene como parámetro un objeto de tipo UsuarioBE y devuelve un objeto de ResponseProducto con tres parámetros.</t>
    </r>
  </si>
  <si>
    <r>
      <rPr>
        <b/>
        <sz val="10"/>
        <color theme="1"/>
        <rFont val="Arial"/>
        <family val="2"/>
      </rPr>
      <t>CambioContrasenia.js</t>
    </r>
    <r>
      <rPr>
        <sz val="10"/>
        <color theme="1"/>
        <rFont val="Arial"/>
        <family val="2"/>
      </rPr>
      <t xml:space="preserve">
Crear el documento js cambioContrasenia que contendrá la siguientes funciones:
-llamarServidor .- método asíncrono que comunica el servidor con la pagina cliente. 
-RenovarContrasenia .- método asíncrono que obtiene los datos en pantalla y utiliza el método RenovarContrasenia del servidor</t>
    </r>
  </si>
  <si>
    <r>
      <rPr>
        <b/>
        <sz val="10"/>
        <color theme="1"/>
        <rFont val="Arial"/>
        <family val="2"/>
      </rPr>
      <t>Index.aspx.vb</t>
    </r>
    <r>
      <rPr>
        <sz val="10"/>
        <color theme="1"/>
        <rFont val="Arial"/>
        <family val="2"/>
      </rPr>
      <t xml:space="preserve">
1.Modificar el método Page_Load, para llamar al servicio y reducir el tiempo de latencia para la siguiente llamada.
2.modificar el evento btnIngresar_Click, de tal forma que valide los días de expiración de la cuenta. En caso de que los días sea 0 o menor mostrar en una ventana emergente el formulario Renovación de Contraseña.</t>
    </r>
  </si>
  <si>
    <t>siguiendo las buenas practicas de programación. El nuevo aplicativo seguirá la arquitectura
N capas.</t>
  </si>
  <si>
    <t>RNOF003</t>
  </si>
  <si>
    <t>SURA</t>
  </si>
  <si>
    <t>Servidor del Aplicativo</t>
  </si>
  <si>
    <t>El despliege del sevicio y el aplicativo web(pagina de cambio de contraseña) estan a cargo del cliente.</t>
  </si>
  <si>
    <t>Correcta configuración del IIS para el aplicativo web</t>
  </si>
  <si>
    <t>Testing</t>
  </si>
  <si>
    <t xml:space="preserve">Pruebas (Desarrollo) </t>
  </si>
  <si>
    <t>Responsable: Juan Fabian</t>
  </si>
  <si>
    <t>Modificación de Documento</t>
  </si>
  <si>
    <t>Analista de Sistemas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</si>
</sst>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d\ dd/mm/yy"/>
    <numFmt numFmtId="165" formatCode="dd"/>
    <numFmt numFmtId="166" formatCode="0.0"/>
    <numFmt numFmtId="167" formatCode="_([$€]\ * #,##0.00_);_([$€]\ * \(#,##0.00\);_([$€]\ * &quot;-&quot;??_);_(@_)"/>
  </numFmts>
  <fonts count="39">
    <font>
      <sz val="10"/>
      <name val="Arial"/>
    </font>
    <font>
      <sz val="10"/>
      <color theme="1"/>
      <name val="Arial"/>
      <family val="2"/>
    </font>
    <font>
      <sz val="11"/>
      <color theme="1"/>
      <name val="Calibri"/>
      <family val="2"/>
      <scheme val="minor"/>
    </font>
    <font>
      <sz val="11"/>
      <color theme="1"/>
      <name val="Calibri"/>
      <family val="2"/>
      <scheme val="minor"/>
    </font>
    <font>
      <sz val="10"/>
      <name val="Arial"/>
      <family val="2"/>
    </font>
    <font>
      <b/>
      <sz val="10"/>
      <color indexed="9"/>
      <name val="Arial"/>
      <family val="2"/>
    </font>
    <font>
      <sz val="9"/>
      <color indexed="10"/>
      <name val="Geneva"/>
      <family val="2"/>
    </font>
    <font>
      <sz val="8"/>
      <name val="Arial"/>
      <family val="2"/>
    </font>
    <font>
      <b/>
      <sz val="10"/>
      <name val="Arial"/>
      <family val="2"/>
    </font>
    <font>
      <sz val="9"/>
      <name val="Geneva"/>
      <family val="2"/>
    </font>
    <font>
      <sz val="10"/>
      <name val="Arial"/>
      <family val="2"/>
    </font>
    <font>
      <sz val="9"/>
      <color indexed="10"/>
      <name val="Arial"/>
      <family val="2"/>
    </font>
    <font>
      <sz val="10"/>
      <name val="Arial"/>
      <family val="2"/>
    </font>
    <font>
      <b/>
      <sz val="10"/>
      <name val="Arial"/>
      <family val="2"/>
    </font>
    <font>
      <sz val="10"/>
      <name val="Arial"/>
      <family val="2"/>
    </font>
    <font>
      <b/>
      <sz val="10"/>
      <color indexed="10"/>
      <name val="Arial"/>
      <family val="2"/>
    </font>
    <font>
      <sz val="9"/>
      <name val="Arial"/>
      <family val="2"/>
    </font>
    <font>
      <sz val="10"/>
      <color indexed="10"/>
      <name val="Arial"/>
      <family val="2"/>
    </font>
    <font>
      <sz val="20"/>
      <color indexed="10"/>
      <name val="Geneva"/>
      <family val="2"/>
    </font>
    <font>
      <sz val="8"/>
      <color indexed="10"/>
      <name val="Arial"/>
      <family val="2"/>
    </font>
    <font>
      <b/>
      <sz val="12"/>
      <name val="Arial"/>
      <family val="2"/>
    </font>
    <font>
      <sz val="10"/>
      <color indexed="10"/>
      <name val="Arial Narrow"/>
      <family val="2"/>
    </font>
    <font>
      <b/>
      <sz val="10"/>
      <color indexed="12"/>
      <name val="Arial"/>
      <family val="2"/>
    </font>
    <font>
      <sz val="10"/>
      <color rgb="FF000000"/>
      <name val="Arial"/>
      <family val="2"/>
    </font>
    <font>
      <b/>
      <sz val="9"/>
      <name val="Arial"/>
      <family val="2"/>
    </font>
    <font>
      <sz val="9"/>
      <color indexed="12"/>
      <name val="Arial"/>
      <family val="2"/>
    </font>
    <font>
      <b/>
      <sz val="9"/>
      <color indexed="12"/>
      <name val="Arial"/>
      <family val="2"/>
    </font>
    <font>
      <b/>
      <u/>
      <sz val="9"/>
      <name val="Arial"/>
      <family val="2"/>
    </font>
    <font>
      <sz val="9"/>
      <color indexed="10"/>
      <name val="Geneva"/>
      <family val="2"/>
    </font>
    <font>
      <b/>
      <sz val="14"/>
      <name val="Arial"/>
      <family val="2"/>
    </font>
    <font>
      <b/>
      <sz val="9"/>
      <color theme="1"/>
      <name val="Arial"/>
      <family val="2"/>
    </font>
    <font>
      <sz val="10"/>
      <color theme="1"/>
      <name val="Arial"/>
      <family val="2"/>
    </font>
    <font>
      <sz val="9"/>
      <color indexed="8"/>
      <name val="Arial"/>
      <family val="2"/>
    </font>
    <font>
      <b/>
      <sz val="10"/>
      <color theme="1"/>
      <name val="Arial"/>
      <family val="2"/>
    </font>
    <font>
      <sz val="10"/>
      <color rgb="FF0000FF"/>
      <name val="Arial"/>
      <family val="2"/>
    </font>
    <font>
      <sz val="9"/>
      <color indexed="10"/>
      <name val="Geneva"/>
      <family val="2"/>
    </font>
    <font>
      <b/>
      <sz val="11"/>
      <name val="Arial"/>
      <family val="2"/>
    </font>
    <font>
      <b/>
      <i/>
      <sz val="11"/>
      <name val="Arial"/>
      <family val="2"/>
    </font>
    <font>
      <sz val="8"/>
      <color rgb="FF000000"/>
      <name val="Tahoma"/>
      <family val="2"/>
    </font>
  </fonts>
  <fills count="10">
    <fill>
      <patternFill patternType="none"/>
    </fill>
    <fill>
      <patternFill patternType="gray125"/>
    </fill>
    <fill>
      <patternFill patternType="solid">
        <fgColor indexed="22"/>
        <bgColor indexed="64"/>
      </patternFill>
    </fill>
    <fill>
      <patternFill patternType="solid">
        <fgColor indexed="55"/>
        <bgColor indexed="64"/>
      </patternFill>
    </fill>
    <fill>
      <patternFill patternType="solid">
        <fgColor indexed="9"/>
        <bgColor indexed="64"/>
      </patternFill>
    </fill>
    <fill>
      <patternFill patternType="solid">
        <fgColor indexed="9"/>
        <bgColor indexed="19"/>
      </patternFill>
    </fill>
    <fill>
      <patternFill patternType="solid">
        <fgColor theme="0" tint="-0.249977111117893"/>
        <bgColor indexed="64"/>
      </patternFill>
    </fill>
    <fill>
      <patternFill patternType="solid">
        <fgColor theme="0"/>
        <bgColor indexed="64"/>
      </patternFill>
    </fill>
    <fill>
      <patternFill patternType="solid">
        <fgColor indexed="22"/>
        <bgColor indexed="22"/>
      </patternFill>
    </fill>
    <fill>
      <patternFill patternType="solid">
        <fgColor rgb="FFC0C0C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2"/>
      </right>
      <top style="thin">
        <color indexed="64"/>
      </top>
      <bottom style="thin">
        <color indexed="64"/>
      </bottom>
      <diagonal/>
    </border>
    <border>
      <left style="thin">
        <color indexed="62"/>
      </left>
      <right style="thin">
        <color indexed="62"/>
      </right>
      <top style="thin">
        <color indexed="64"/>
      </top>
      <bottom style="thin">
        <color indexed="64"/>
      </bottom>
      <diagonal/>
    </border>
    <border>
      <left style="thin">
        <color indexed="62"/>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s>
  <cellStyleXfs count="35">
    <xf numFmtId="0" fontId="0" fillId="0" borderId="0"/>
    <xf numFmtId="0" fontId="12" fillId="0" borderId="0"/>
    <xf numFmtId="0" fontId="4" fillId="0" borderId="0"/>
    <xf numFmtId="0" fontId="6" fillId="0" borderId="0"/>
    <xf numFmtId="0" fontId="6" fillId="0" borderId="0"/>
    <xf numFmtId="0" fontId="4" fillId="0" borderId="0"/>
    <xf numFmtId="0" fontId="6" fillId="0" borderId="0"/>
    <xf numFmtId="0" fontId="4" fillId="0" borderId="0"/>
    <xf numFmtId="0" fontId="4" fillId="0" borderId="0"/>
    <xf numFmtId="0" fontId="4" fillId="0" borderId="0"/>
    <xf numFmtId="0" fontId="28" fillId="0" borderId="0"/>
    <xf numFmtId="0" fontId="4" fillId="0" borderId="0"/>
    <xf numFmtId="0" fontId="4" fillId="0" borderId="0"/>
    <xf numFmtId="0" fontId="6" fillId="0" borderId="0"/>
    <xf numFmtId="0" fontId="4" fillId="0" borderId="0"/>
    <xf numFmtId="0" fontId="4" fillId="0" borderId="0"/>
    <xf numFmtId="0" fontId="4" fillId="0" borderId="0"/>
    <xf numFmtId="0" fontId="4" fillId="0" borderId="0"/>
    <xf numFmtId="0" fontId="4" fillId="0" borderId="0"/>
    <xf numFmtId="167" fontId="35" fillId="0" borderId="0" applyFont="0" applyFill="0" applyBorder="0" applyAlignment="0" applyProtection="0"/>
    <xf numFmtId="0" fontId="4" fillId="0" borderId="0"/>
    <xf numFmtId="0" fontId="3" fillId="0" borderId="0"/>
    <xf numFmtId="0" fontId="3" fillId="0" borderId="0"/>
    <xf numFmtId="0" fontId="3" fillId="0" borderId="0"/>
    <xf numFmtId="0" fontId="3" fillId="0" borderId="0"/>
    <xf numFmtId="9" fontId="4" fillId="0" borderId="0" applyFont="0" applyFill="0" applyBorder="0" applyAlignment="0" applyProtection="0"/>
    <xf numFmtId="9" fontId="4" fillId="0" borderId="0" applyFont="0" applyFill="0" applyBorder="0" applyAlignment="0" applyProtection="0"/>
    <xf numFmtId="0" fontId="35" fillId="0" borderId="0"/>
    <xf numFmtId="0" fontId="6" fillId="0" borderId="0"/>
    <xf numFmtId="167" fontId="6" fillId="0" borderId="0" applyFont="0" applyFill="0" applyBorder="0" applyAlignment="0" applyProtection="0"/>
    <xf numFmtId="0" fontId="2" fillId="0" borderId="0"/>
    <xf numFmtId="0" fontId="2" fillId="0" borderId="0"/>
    <xf numFmtId="0" fontId="2" fillId="0" borderId="0"/>
    <xf numFmtId="0" fontId="2" fillId="0" borderId="0"/>
    <xf numFmtId="0" fontId="6" fillId="0" borderId="0"/>
  </cellStyleXfs>
  <cellXfs count="428">
    <xf numFmtId="0" fontId="0" fillId="0" borderId="0" xfId="0"/>
    <xf numFmtId="0" fontId="8" fillId="2" borderId="1" xfId="4" applyFont="1" applyFill="1" applyBorder="1" applyAlignment="1">
      <alignment horizontal="center" vertical="center"/>
    </xf>
    <xf numFmtId="0" fontId="9" fillId="0" borderId="1" xfId="4" applyFont="1" applyBorder="1"/>
    <xf numFmtId="0" fontId="10" fillId="0" borderId="1" xfId="1" applyFont="1" applyFill="1" applyBorder="1" applyAlignment="1">
      <alignment vertical="center" wrapText="1"/>
    </xf>
    <xf numFmtId="0" fontId="8" fillId="0" borderId="0" xfId="1" applyFont="1"/>
    <xf numFmtId="0" fontId="10" fillId="0" borderId="0" xfId="1" applyFont="1"/>
    <xf numFmtId="0" fontId="16" fillId="0" borderId="1" xfId="4" applyFont="1" applyBorder="1"/>
    <xf numFmtId="0" fontId="8" fillId="0" borderId="0" xfId="1" applyFont="1" applyAlignment="1">
      <alignment vertical="center"/>
    </xf>
    <xf numFmtId="0" fontId="10" fillId="0" borderId="1" xfId="1" applyFont="1" applyFill="1" applyBorder="1" applyAlignment="1">
      <alignment horizontal="center" vertical="center" wrapText="1"/>
    </xf>
    <xf numFmtId="9" fontId="10" fillId="0" borderId="1" xfId="1" applyNumberFormat="1" applyFont="1" applyFill="1" applyBorder="1" applyAlignment="1">
      <alignment horizontal="center" vertical="center" wrapText="1"/>
    </xf>
    <xf numFmtId="0" fontId="12" fillId="0" borderId="0" xfId="1" applyFont="1" applyAlignment="1">
      <alignment vertical="center"/>
    </xf>
    <xf numFmtId="3" fontId="12" fillId="0" borderId="0" xfId="1" applyNumberFormat="1" applyFont="1" applyAlignment="1">
      <alignment vertical="center"/>
    </xf>
    <xf numFmtId="0" fontId="12" fillId="0" borderId="0" xfId="1" applyFont="1" applyAlignment="1">
      <alignment horizontal="center" vertical="center"/>
    </xf>
    <xf numFmtId="0" fontId="4" fillId="0" borderId="0" xfId="1" applyFont="1" applyAlignment="1">
      <alignment vertical="center"/>
    </xf>
    <xf numFmtId="0" fontId="14" fillId="0" borderId="0" xfId="1" applyFont="1" applyAlignment="1">
      <alignment vertical="center"/>
    </xf>
    <xf numFmtId="3" fontId="14" fillId="0" borderId="0" xfId="1" applyNumberFormat="1" applyFont="1" applyAlignment="1">
      <alignment vertical="center"/>
    </xf>
    <xf numFmtId="0" fontId="10" fillId="0" borderId="0" xfId="1" applyFont="1" applyAlignment="1">
      <alignment vertical="center"/>
    </xf>
    <xf numFmtId="0" fontId="20" fillId="0" borderId="0" xfId="1" applyFont="1" applyAlignment="1">
      <alignment vertical="center"/>
    </xf>
    <xf numFmtId="16" fontId="10" fillId="0" borderId="0" xfId="1" applyNumberFormat="1" applyFont="1" applyAlignment="1">
      <alignment vertical="center"/>
    </xf>
    <xf numFmtId="14" fontId="12" fillId="0" borderId="0" xfId="1" applyNumberFormat="1" applyFont="1" applyAlignment="1">
      <alignment vertical="center"/>
    </xf>
    <xf numFmtId="165" fontId="12" fillId="0" borderId="0" xfId="1" applyNumberFormat="1" applyFont="1" applyAlignment="1">
      <alignment vertical="center"/>
    </xf>
    <xf numFmtId="0" fontId="21" fillId="0" borderId="0" xfId="0" applyFont="1"/>
    <xf numFmtId="0" fontId="12" fillId="0" borderId="1" xfId="1" applyNumberFormat="1" applyFont="1" applyFill="1" applyBorder="1" applyAlignment="1">
      <alignment horizontal="center" vertical="center"/>
    </xf>
    <xf numFmtId="0" fontId="12" fillId="0" borderId="1" xfId="1" applyFont="1" applyFill="1" applyBorder="1" applyAlignment="1">
      <alignment horizontal="center" vertical="center"/>
    </xf>
    <xf numFmtId="4" fontId="0" fillId="0" borderId="1" xfId="1" applyNumberFormat="1" applyFont="1" applyFill="1" applyBorder="1" applyAlignment="1">
      <alignment horizontal="center" vertical="center"/>
    </xf>
    <xf numFmtId="164" fontId="10" fillId="0" borderId="1" xfId="1" applyNumberFormat="1" applyFont="1" applyFill="1" applyBorder="1" applyAlignment="1">
      <alignment horizontal="center" vertical="center"/>
    </xf>
    <xf numFmtId="0" fontId="8" fillId="3" borderId="1" xfId="4" applyFont="1" applyFill="1" applyBorder="1" applyAlignment="1">
      <alignment vertical="center" wrapText="1"/>
    </xf>
    <xf numFmtId="0" fontId="8" fillId="3" borderId="1" xfId="4" applyFont="1" applyFill="1" applyBorder="1" applyAlignment="1">
      <alignment horizontal="center" vertical="center" wrapText="1"/>
    </xf>
    <xf numFmtId="4" fontId="22" fillId="0" borderId="1" xfId="1" applyNumberFormat="1" applyFont="1" applyFill="1" applyBorder="1" applyAlignment="1">
      <alignment horizontal="center" vertical="center"/>
    </xf>
    <xf numFmtId="0" fontId="13" fillId="3" borderId="2" xfId="4" applyFont="1" applyFill="1" applyBorder="1" applyAlignment="1">
      <alignment horizontal="center" vertical="center"/>
    </xf>
    <xf numFmtId="0" fontId="13" fillId="3" borderId="3" xfId="4" applyFont="1" applyFill="1" applyBorder="1" applyAlignment="1">
      <alignment horizontal="center" vertical="center"/>
    </xf>
    <xf numFmtId="0" fontId="12" fillId="0" borderId="4" xfId="1" applyFont="1" applyFill="1" applyBorder="1" applyAlignment="1">
      <alignment vertical="center"/>
    </xf>
    <xf numFmtId="0" fontId="12" fillId="0" borderId="1" xfId="1" applyFont="1" applyFill="1" applyBorder="1" applyAlignment="1">
      <alignment vertical="center"/>
    </xf>
    <xf numFmtId="0" fontId="22" fillId="0" borderId="1" xfId="4" applyFont="1" applyFill="1" applyBorder="1" applyAlignment="1">
      <alignment horizontal="center" vertical="center"/>
    </xf>
    <xf numFmtId="0" fontId="0" fillId="0" borderId="1" xfId="1" applyFont="1" applyFill="1" applyBorder="1"/>
    <xf numFmtId="0" fontId="8" fillId="2" borderId="1" xfId="1" applyFont="1" applyFill="1" applyBorder="1" applyAlignment="1">
      <alignment horizontal="center" vertical="center"/>
    </xf>
    <xf numFmtId="3" fontId="8" fillId="2" borderId="1" xfId="4" applyNumberFormat="1" applyFont="1" applyFill="1" applyBorder="1" applyAlignment="1">
      <alignment horizontal="center" vertical="center"/>
    </xf>
    <xf numFmtId="3" fontId="8" fillId="2" borderId="1" xfId="4" applyNumberFormat="1" applyFont="1" applyFill="1" applyBorder="1" applyAlignment="1">
      <alignment horizontal="left" vertical="center" wrapText="1"/>
    </xf>
    <xf numFmtId="3" fontId="5" fillId="2" borderId="1" xfId="4" applyNumberFormat="1" applyFont="1" applyFill="1" applyBorder="1" applyAlignment="1">
      <alignment horizontal="left" vertical="center" wrapText="1"/>
    </xf>
    <xf numFmtId="0" fontId="8" fillId="2" borderId="1" xfId="4" applyFont="1" applyFill="1" applyBorder="1" applyAlignment="1">
      <alignment horizontal="center" vertical="center" wrapText="1"/>
    </xf>
    <xf numFmtId="0" fontId="10" fillId="2" borderId="1" xfId="1" applyFont="1" applyFill="1" applyBorder="1"/>
    <xf numFmtId="0" fontId="0" fillId="2" borderId="1" xfId="1" applyFont="1" applyFill="1" applyBorder="1"/>
    <xf numFmtId="0" fontId="10" fillId="0" borderId="1" xfId="1" applyFont="1" applyFill="1" applyBorder="1" applyAlignment="1" applyProtection="1">
      <alignment horizontal="center" vertical="center" wrapText="1"/>
      <protection locked="0"/>
    </xf>
    <xf numFmtId="0" fontId="8" fillId="0" borderId="0" xfId="1" applyFont="1" applyAlignment="1" applyProtection="1">
      <alignment vertical="center"/>
    </xf>
    <xf numFmtId="0" fontId="8" fillId="0" borderId="0" xfId="1" applyFont="1" applyAlignment="1" applyProtection="1">
      <alignment horizontal="center" vertical="center"/>
    </xf>
    <xf numFmtId="0" fontId="17" fillId="0" borderId="0" xfId="1" applyFont="1" applyAlignment="1" applyProtection="1">
      <alignment horizontal="center" vertical="center"/>
    </xf>
    <xf numFmtId="0" fontId="17" fillId="0" borderId="0" xfId="1" applyFont="1" applyAlignment="1" applyProtection="1">
      <alignment vertical="center"/>
    </xf>
    <xf numFmtId="0" fontId="6" fillId="0" borderId="0" xfId="1" applyFont="1" applyAlignment="1" applyProtection="1">
      <alignment vertical="center"/>
    </xf>
    <xf numFmtId="0" fontId="8" fillId="3" borderId="5" xfId="1" applyFont="1" applyFill="1" applyBorder="1" applyAlignment="1" applyProtection="1">
      <alignment horizontal="center" vertical="center" wrapText="1"/>
    </xf>
    <xf numFmtId="0" fontId="11" fillId="0" borderId="0" xfId="1" applyFont="1" applyAlignment="1" applyProtection="1">
      <alignment vertical="center"/>
    </xf>
    <xf numFmtId="0" fontId="19" fillId="0" borderId="0" xfId="1" applyFont="1" applyAlignment="1" applyProtection="1">
      <alignment vertical="center"/>
    </xf>
    <xf numFmtId="0" fontId="10" fillId="2" borderId="1" xfId="1" applyFont="1" applyFill="1" applyBorder="1" applyAlignment="1" applyProtection="1">
      <alignment vertical="center" wrapText="1"/>
    </xf>
    <xf numFmtId="0" fontId="10" fillId="0" borderId="1" xfId="1" applyFont="1" applyFill="1" applyBorder="1" applyAlignment="1" applyProtection="1">
      <alignment horizontal="center" vertical="center" wrapText="1"/>
    </xf>
    <xf numFmtId="0" fontId="10" fillId="2" borderId="1" xfId="2" applyFont="1" applyFill="1" applyBorder="1" applyAlignment="1" applyProtection="1">
      <alignment horizontal="center" vertical="center"/>
    </xf>
    <xf numFmtId="0" fontId="10" fillId="2" borderId="1" xfId="1" applyFont="1" applyFill="1" applyBorder="1" applyAlignment="1" applyProtection="1">
      <alignment horizontal="center" vertical="center" wrapText="1"/>
    </xf>
    <xf numFmtId="0" fontId="10" fillId="0" borderId="1" xfId="1" applyFont="1" applyFill="1" applyBorder="1" applyAlignment="1" applyProtection="1">
      <alignment vertical="center" wrapText="1"/>
    </xf>
    <xf numFmtId="0" fontId="6" fillId="0" borderId="0" xfId="1" applyFont="1" applyAlignment="1" applyProtection="1">
      <alignment vertical="center" wrapText="1"/>
    </xf>
    <xf numFmtId="0" fontId="6" fillId="0" borderId="0" xfId="1" applyFont="1" applyAlignment="1" applyProtection="1">
      <alignment horizontal="center" vertical="center"/>
    </xf>
    <xf numFmtId="0" fontId="18" fillId="0" borderId="0" xfId="1" applyFont="1" applyAlignment="1" applyProtection="1">
      <alignment horizontal="center" vertical="center"/>
    </xf>
    <xf numFmtId="0" fontId="9" fillId="0" borderId="1" xfId="0" applyFont="1" applyBorder="1"/>
    <xf numFmtId="0" fontId="4" fillId="0" borderId="0" xfId="1" applyFont="1" applyAlignment="1">
      <alignment horizontal="right" vertical="center"/>
    </xf>
    <xf numFmtId="0" fontId="4" fillId="2" borderId="1" xfId="1" applyFont="1" applyFill="1" applyBorder="1" applyAlignment="1" applyProtection="1">
      <alignment vertical="center" wrapText="1"/>
    </xf>
    <xf numFmtId="0" fontId="9" fillId="0" borderId="0" xfId="4" applyFont="1" applyBorder="1"/>
    <xf numFmtId="0" fontId="11" fillId="0" borderId="0" xfId="1" applyFont="1"/>
    <xf numFmtId="0" fontId="16" fillId="0" borderId="1" xfId="1" applyFont="1" applyBorder="1" applyAlignment="1">
      <alignment horizontal="left" vertical="center" wrapText="1" indent="1"/>
    </xf>
    <xf numFmtId="0" fontId="16" fillId="0" borderId="0" xfId="1" applyFont="1" applyBorder="1" applyAlignment="1">
      <alignment horizontal="left" vertical="center" wrapText="1" indent="1"/>
    </xf>
    <xf numFmtId="0" fontId="16" fillId="0" borderId="0" xfId="1" applyFont="1" applyBorder="1" applyAlignment="1">
      <alignment horizontal="left" wrapText="1" indent="1"/>
    </xf>
    <xf numFmtId="0" fontId="11" fillId="0" borderId="0" xfId="4" applyFont="1"/>
    <xf numFmtId="0" fontId="16" fillId="0" borderId="0" xfId="2" applyFont="1"/>
    <xf numFmtId="0" fontId="24" fillId="0" borderId="0" xfId="2" applyFont="1"/>
    <xf numFmtId="0" fontId="24" fillId="0" borderId="1" xfId="2" applyFont="1" applyBorder="1" applyAlignment="1">
      <alignment vertical="center" wrapText="1"/>
    </xf>
    <xf numFmtId="0" fontId="16" fillId="0" borderId="1" xfId="2" applyFont="1" applyBorder="1" applyAlignment="1">
      <alignment vertical="top" wrapText="1"/>
    </xf>
    <xf numFmtId="0" fontId="16" fillId="0" borderId="0" xfId="2" applyFont="1" applyAlignment="1">
      <alignment vertical="top" wrapText="1"/>
    </xf>
    <xf numFmtId="0" fontId="16" fillId="0" borderId="0" xfId="2" applyFont="1" applyBorder="1" applyAlignment="1">
      <alignment horizontal="left" vertical="center" wrapText="1"/>
    </xf>
    <xf numFmtId="0" fontId="24" fillId="2" borderId="1" xfId="4" applyFont="1" applyFill="1" applyBorder="1" applyAlignment="1">
      <alignment horizontal="center" vertical="center"/>
    </xf>
    <xf numFmtId="0" fontId="16" fillId="0" borderId="0" xfId="2" applyFont="1" applyAlignment="1">
      <alignment vertical="center" wrapText="1"/>
    </xf>
    <xf numFmtId="0" fontId="16" fillId="0" borderId="0" xfId="2" applyFont="1" applyAlignment="1">
      <alignment horizontal="center"/>
    </xf>
    <xf numFmtId="0" fontId="16" fillId="4" borderId="1" xfId="2" applyFont="1" applyFill="1" applyBorder="1" applyAlignment="1">
      <alignment horizontal="center"/>
    </xf>
    <xf numFmtId="0" fontId="25" fillId="0" borderId="0" xfId="2" applyFont="1" applyAlignment="1">
      <alignment horizontal="center"/>
    </xf>
    <xf numFmtId="0" fontId="16" fillId="2" borderId="1" xfId="2" applyFont="1" applyFill="1" applyBorder="1" applyAlignment="1">
      <alignment horizontal="center"/>
    </xf>
    <xf numFmtId="0" fontId="24" fillId="0" borderId="0" xfId="2" applyFont="1" applyAlignment="1">
      <alignment horizontal="center"/>
    </xf>
    <xf numFmtId="0" fontId="26" fillId="5" borderId="1" xfId="2" applyFont="1" applyFill="1" applyBorder="1" applyAlignment="1">
      <alignment horizontal="center"/>
    </xf>
    <xf numFmtId="0" fontId="24" fillId="4" borderId="1" xfId="3" applyFont="1" applyFill="1" applyBorder="1" applyAlignment="1">
      <alignment horizontal="center" vertical="center" wrapText="1"/>
    </xf>
    <xf numFmtId="0" fontId="24" fillId="0" borderId="0" xfId="2" applyFont="1" applyFill="1" applyAlignment="1">
      <alignment horizontal="center"/>
    </xf>
    <xf numFmtId="0" fontId="24" fillId="0" borderId="0" xfId="3" applyFont="1" applyFill="1" applyBorder="1" applyAlignment="1">
      <alignment horizontal="left" vertical="center" wrapText="1"/>
    </xf>
    <xf numFmtId="0" fontId="16" fillId="0" borderId="0" xfId="2" applyFont="1" applyFill="1"/>
    <xf numFmtId="0" fontId="16" fillId="0" borderId="0" xfId="2" applyFont="1" applyFill="1" applyAlignment="1">
      <alignment horizontal="left" wrapText="1"/>
    </xf>
    <xf numFmtId="0" fontId="24" fillId="2" borderId="1" xfId="1" applyFont="1" applyFill="1" applyBorder="1" applyAlignment="1">
      <alignment horizontal="center" vertical="center" wrapText="1"/>
    </xf>
    <xf numFmtId="0" fontId="16" fillId="0" borderId="0" xfId="0" applyFont="1"/>
    <xf numFmtId="0" fontId="16" fillId="0" borderId="0" xfId="5" applyFont="1"/>
    <xf numFmtId="0" fontId="24" fillId="0" borderId="0" xfId="2" applyFont="1" applyFill="1" applyBorder="1" applyAlignment="1">
      <alignment horizontal="left" vertical="center" wrapText="1" indent="2"/>
    </xf>
    <xf numFmtId="0" fontId="16" fillId="0" borderId="0" xfId="2" applyFont="1" applyFill="1" applyAlignment="1">
      <alignment vertical="center"/>
    </xf>
    <xf numFmtId="0" fontId="16" fillId="0" borderId="0" xfId="5" applyFont="1" applyFill="1"/>
    <xf numFmtId="0" fontId="24" fillId="0" borderId="0" xfId="5" applyFont="1" applyFill="1" applyAlignment="1">
      <alignment horizontal="left" indent="2"/>
    </xf>
    <xf numFmtId="0" fontId="16" fillId="0" borderId="0" xfId="2" applyFont="1" applyFill="1" applyAlignment="1"/>
    <xf numFmtId="0" fontId="24" fillId="0" borderId="0" xfId="5" applyFont="1" applyFill="1" applyAlignment="1">
      <alignment horizontal="left" vertical="center" indent="1"/>
    </xf>
    <xf numFmtId="0" fontId="24" fillId="0" borderId="0" xfId="2" applyFont="1" applyFill="1" applyAlignment="1">
      <alignment horizontal="left" vertical="top" indent="2"/>
    </xf>
    <xf numFmtId="0" fontId="16" fillId="0" borderId="0" xfId="2" applyFont="1" applyFill="1" applyAlignment="1">
      <alignment horizontal="left" indent="2"/>
    </xf>
    <xf numFmtId="0" fontId="16" fillId="0" borderId="0" xfId="2" applyFont="1" applyFill="1" applyAlignment="1">
      <alignment horizontal="left" vertical="center" wrapText="1" indent="5"/>
    </xf>
    <xf numFmtId="0" fontId="24" fillId="0" borderId="0" xfId="2" applyFont="1" applyFill="1" applyAlignment="1">
      <alignment horizontal="right" vertical="top" indent="3"/>
    </xf>
    <xf numFmtId="0" fontId="16" fillId="0" borderId="0" xfId="2" applyFont="1" applyFill="1" applyAlignment="1">
      <alignment horizontal="right" vertical="top" indent="3"/>
    </xf>
    <xf numFmtId="0" fontId="24" fillId="0" borderId="0" xfId="2" applyFont="1" applyFill="1" applyAlignment="1">
      <alignment horizontal="right" vertical="top"/>
    </xf>
    <xf numFmtId="0" fontId="16" fillId="0" borderId="0" xfId="2" applyFont="1" applyFill="1" applyAlignment="1">
      <alignment horizontal="right"/>
    </xf>
    <xf numFmtId="0" fontId="16" fillId="0" borderId="0" xfId="2" applyFont="1" applyFill="1" applyAlignment="1">
      <alignment horizontal="right" vertical="top"/>
    </xf>
    <xf numFmtId="0" fontId="16" fillId="0" borderId="0" xfId="2" applyFont="1" applyFill="1" applyAlignment="1">
      <alignment horizontal="left" vertical="center" wrapText="1" indent="2"/>
    </xf>
    <xf numFmtId="0" fontId="24" fillId="0" borderId="0" xfId="2" applyFont="1" applyAlignment="1">
      <alignment horizontal="left"/>
    </xf>
    <xf numFmtId="0" fontId="24" fillId="0" borderId="0" xfId="2" applyFont="1" applyAlignment="1">
      <alignment horizontal="left" vertical="top"/>
    </xf>
    <xf numFmtId="0" fontId="24" fillId="0" borderId="0" xfId="2" applyFont="1" applyAlignment="1">
      <alignment vertical="top"/>
    </xf>
    <xf numFmtId="0" fontId="27" fillId="0" borderId="0" xfId="2" applyFont="1" applyFill="1" applyAlignment="1">
      <alignment horizontal="left" vertical="top" indent="1"/>
    </xf>
    <xf numFmtId="0" fontId="24" fillId="0" borderId="0" xfId="2" applyFont="1" applyFill="1" applyAlignment="1">
      <alignment horizontal="left" vertical="top" indent="1"/>
    </xf>
    <xf numFmtId="0" fontId="24" fillId="0" borderId="0" xfId="2" applyFont="1" applyFill="1" applyAlignment="1">
      <alignment vertical="top"/>
    </xf>
    <xf numFmtId="0" fontId="10" fillId="0" borderId="1" xfId="1" applyFont="1" applyFill="1" applyBorder="1" applyAlignment="1" applyProtection="1">
      <alignment horizontal="center" vertical="center" wrapText="1"/>
      <protection hidden="1"/>
    </xf>
    <xf numFmtId="4" fontId="0" fillId="0" borderId="1" xfId="1" applyNumberFormat="1" applyFont="1" applyFill="1" applyBorder="1" applyAlignment="1" applyProtection="1">
      <alignment horizontal="center" vertical="center"/>
    </xf>
    <xf numFmtId="0" fontId="16" fillId="2" borderId="1" xfId="6" applyFont="1" applyFill="1" applyBorder="1" applyAlignment="1">
      <alignment horizontal="center" vertical="center" wrapText="1"/>
    </xf>
    <xf numFmtId="0" fontId="16" fillId="0" borderId="1" xfId="6" applyFont="1" applyBorder="1" applyAlignment="1" applyProtection="1">
      <alignment horizontal="center" vertical="center" wrapText="1"/>
      <protection locked="0"/>
    </xf>
    <xf numFmtId="14" fontId="4" fillId="0" borderId="1" xfId="7" applyNumberFormat="1" applyFont="1" applyBorder="1" applyAlignment="1" applyProtection="1">
      <alignment horizontal="center" vertical="center" wrapText="1"/>
      <protection locked="0"/>
    </xf>
    <xf numFmtId="0" fontId="8" fillId="2" borderId="1" xfId="1" applyFont="1" applyFill="1" applyBorder="1"/>
    <xf numFmtId="0" fontId="24" fillId="2" borderId="1" xfId="6" applyFont="1" applyFill="1" applyBorder="1" applyAlignment="1">
      <alignment horizontal="center" vertical="center" wrapText="1"/>
    </xf>
    <xf numFmtId="0" fontId="8" fillId="0" borderId="0" xfId="2" applyFont="1" applyAlignment="1" applyProtection="1">
      <alignment horizontal="center" vertical="center"/>
    </xf>
    <xf numFmtId="0" fontId="24" fillId="0" borderId="0" xfId="2" applyFont="1" applyBorder="1" applyAlignment="1">
      <alignment vertical="center" wrapText="1"/>
    </xf>
    <xf numFmtId="0" fontId="0" fillId="0" borderId="0" xfId="0" applyBorder="1" applyAlignment="1"/>
    <xf numFmtId="0" fontId="9" fillId="0" borderId="1" xfId="12" applyFont="1" applyBorder="1"/>
    <xf numFmtId="0" fontId="16" fillId="0" borderId="0" xfId="4" applyFont="1" applyBorder="1"/>
    <xf numFmtId="0" fontId="4" fillId="0" borderId="1" xfId="1" applyFont="1" applyFill="1" applyBorder="1" applyAlignment="1" applyProtection="1">
      <alignment horizontal="center" vertical="center" wrapText="1"/>
    </xf>
    <xf numFmtId="0" fontId="24" fillId="0" borderId="0" xfId="2" applyFont="1" applyBorder="1" applyAlignment="1">
      <alignment horizontal="center" vertical="center" wrapText="1"/>
    </xf>
    <xf numFmtId="0" fontId="0" fillId="0" borderId="0" xfId="0" applyProtection="1">
      <protection locked="0"/>
    </xf>
    <xf numFmtId="0" fontId="24" fillId="0" borderId="0" xfId="2" applyFont="1" applyAlignment="1"/>
    <xf numFmtId="0" fontId="29" fillId="0" borderId="0" xfId="9" applyFont="1" applyProtection="1">
      <protection locked="0"/>
    </xf>
    <xf numFmtId="0" fontId="4" fillId="0" borderId="0" xfId="9" applyFont="1" applyAlignment="1" applyProtection="1">
      <alignment wrapText="1"/>
      <protection locked="0"/>
    </xf>
    <xf numFmtId="0" fontId="31" fillId="7" borderId="1" xfId="9" applyFont="1" applyFill="1" applyBorder="1" applyAlignment="1" applyProtection="1">
      <alignment horizontal="center" vertical="center" wrapText="1"/>
      <protection locked="0"/>
    </xf>
    <xf numFmtId="0" fontId="32" fillId="0" borderId="0" xfId="9" applyFont="1" applyFill="1" applyBorder="1" applyAlignment="1" applyProtection="1">
      <alignment vertical="center" wrapText="1"/>
      <protection locked="0"/>
    </xf>
    <xf numFmtId="0" fontId="0" fillId="0" borderId="0" xfId="9" applyFont="1" applyAlignment="1" applyProtection="1">
      <alignment wrapText="1"/>
      <protection locked="0"/>
    </xf>
    <xf numFmtId="0" fontId="4" fillId="0" borderId="0" xfId="9" applyFont="1" applyFill="1" applyAlignment="1" applyProtection="1">
      <alignment wrapText="1"/>
      <protection locked="0"/>
    </xf>
    <xf numFmtId="0" fontId="30" fillId="0" borderId="0" xfId="9" applyFont="1" applyFill="1" applyBorder="1" applyAlignment="1" applyProtection="1">
      <alignment horizontal="left" vertical="top" wrapText="1"/>
      <protection locked="0"/>
    </xf>
    <xf numFmtId="0" fontId="31" fillId="0" borderId="0" xfId="9" applyFont="1" applyFill="1" applyBorder="1" applyAlignment="1" applyProtection="1">
      <alignment horizontal="center" vertical="center" wrapText="1"/>
      <protection locked="0"/>
    </xf>
    <xf numFmtId="0" fontId="0" fillId="0" borderId="0" xfId="9" applyFont="1" applyFill="1" applyAlignment="1" applyProtection="1">
      <alignment wrapText="1"/>
      <protection locked="0"/>
    </xf>
    <xf numFmtId="0" fontId="33" fillId="6" borderId="1" xfId="2" applyFont="1" applyFill="1" applyBorder="1" applyAlignment="1" applyProtection="1">
      <alignment horizontal="center" vertical="center" wrapText="1"/>
      <protection locked="0"/>
    </xf>
    <xf numFmtId="0" fontId="0" fillId="0" borderId="0" xfId="9" applyFont="1" applyAlignment="1" applyProtection="1">
      <alignment horizontal="center" vertical="center" wrapText="1"/>
      <protection locked="0"/>
    </xf>
    <xf numFmtId="0" fontId="8" fillId="6" borderId="1" xfId="2" applyFont="1" applyFill="1" applyBorder="1" applyAlignment="1" applyProtection="1">
      <alignment horizontal="center" vertical="center" wrapText="1"/>
      <protection locked="0"/>
    </xf>
    <xf numFmtId="14" fontId="31" fillId="7" borderId="1" xfId="9" applyNumberFormat="1" applyFont="1" applyFill="1" applyBorder="1" applyProtection="1">
      <protection locked="0"/>
    </xf>
    <xf numFmtId="0" fontId="34" fillId="7" borderId="1" xfId="9" applyFont="1" applyFill="1" applyBorder="1" applyAlignment="1" applyProtection="1">
      <alignment horizontal="center" vertical="center" wrapText="1"/>
      <protection locked="0"/>
    </xf>
    <xf numFmtId="0" fontId="29" fillId="0" borderId="0" xfId="9" applyFont="1"/>
    <xf numFmtId="0" fontId="0" fillId="0" borderId="0" xfId="9" quotePrefix="1" applyFont="1"/>
    <xf numFmtId="0" fontId="4" fillId="0" borderId="0" xfId="9" applyFont="1" applyAlignment="1" applyProtection="1">
      <alignment wrapText="1"/>
    </xf>
    <xf numFmtId="0" fontId="0" fillId="0" borderId="0" xfId="9" applyFont="1" applyAlignment="1">
      <alignment horizontal="center" vertical="center" wrapText="1"/>
    </xf>
    <xf numFmtId="0" fontId="33" fillId="6" borderId="1" xfId="2" applyFont="1" applyFill="1" applyBorder="1" applyAlignment="1">
      <alignment horizontal="center" vertical="center" wrapText="1"/>
    </xf>
    <xf numFmtId="0" fontId="34" fillId="7" borderId="1" xfId="9" applyFont="1" applyFill="1" applyBorder="1" applyAlignment="1">
      <alignment horizontal="center" vertical="center" wrapText="1"/>
    </xf>
    <xf numFmtId="0" fontId="31" fillId="7" borderId="1" xfId="9" applyFont="1" applyFill="1" applyBorder="1" applyAlignment="1">
      <alignment horizontal="center" vertical="center" wrapText="1"/>
    </xf>
    <xf numFmtId="0" fontId="31" fillId="7" borderId="1" xfId="9" applyFont="1" applyFill="1" applyBorder="1"/>
    <xf numFmtId="14" fontId="31" fillId="7" borderId="1" xfId="9" applyNumberFormat="1" applyFont="1" applyFill="1" applyBorder="1"/>
    <xf numFmtId="14" fontId="31" fillId="7" borderId="1" xfId="9" applyNumberFormat="1" applyFont="1" applyFill="1" applyBorder="1" applyAlignment="1">
      <alignment horizontal="center"/>
    </xf>
    <xf numFmtId="0" fontId="8" fillId="0" borderId="0" xfId="9" applyFont="1"/>
    <xf numFmtId="0" fontId="16" fillId="0" borderId="1" xfId="2" applyFont="1" applyBorder="1" applyAlignment="1">
      <alignment horizontal="center"/>
    </xf>
    <xf numFmtId="0" fontId="30" fillId="6" borderId="1" xfId="9" applyFont="1" applyFill="1" applyBorder="1" applyAlignment="1" applyProtection="1">
      <alignment horizontal="left" vertical="top" wrapText="1"/>
      <protection locked="0"/>
    </xf>
    <xf numFmtId="0" fontId="8" fillId="0" borderId="0" xfId="4" applyFont="1" applyFill="1" applyBorder="1" applyAlignment="1">
      <alignment horizontal="center" vertical="center" wrapText="1"/>
    </xf>
    <xf numFmtId="164" fontId="22" fillId="0" borderId="0" xfId="1" applyNumberFormat="1" applyFont="1" applyFill="1" applyBorder="1" applyAlignment="1">
      <alignment horizontal="center" vertical="center"/>
    </xf>
    <xf numFmtId="164" fontId="10" fillId="0" borderId="0" xfId="1" applyNumberFormat="1" applyFont="1" applyFill="1" applyBorder="1" applyAlignment="1">
      <alignment horizontal="center" vertical="center"/>
    </xf>
    <xf numFmtId="164" fontId="12" fillId="0" borderId="0" xfId="1" applyNumberFormat="1" applyFont="1" applyFill="1" applyBorder="1" applyAlignment="1">
      <alignment horizontal="center" vertical="center"/>
    </xf>
    <xf numFmtId="0" fontId="16" fillId="0" borderId="0" xfId="2" applyFont="1" applyBorder="1" applyAlignment="1">
      <alignment horizontal="left" vertical="top"/>
    </xf>
    <xf numFmtId="0" fontId="16" fillId="0" borderId="0" xfId="2" applyFont="1" applyBorder="1" applyAlignment="1">
      <alignment horizontal="left" vertical="top" wrapText="1"/>
    </xf>
    <xf numFmtId="0" fontId="11" fillId="0" borderId="0" xfId="1" applyFont="1" applyBorder="1" applyAlignment="1"/>
    <xf numFmtId="0" fontId="31" fillId="0" borderId="1" xfId="9" applyFont="1" applyFill="1" applyBorder="1" applyAlignment="1" applyProtection="1">
      <alignment horizontal="center" vertical="center" wrapText="1"/>
    </xf>
    <xf numFmtId="0" fontId="24" fillId="2" borderId="1" xfId="1" applyFont="1" applyFill="1" applyBorder="1" applyAlignment="1">
      <alignment horizontal="center" vertical="center" wrapText="1"/>
    </xf>
    <xf numFmtId="0" fontId="4" fillId="2" borderId="1" xfId="1" applyFont="1" applyFill="1" applyBorder="1" applyAlignment="1" applyProtection="1">
      <alignment horizontal="center" vertical="center" wrapText="1"/>
    </xf>
    <xf numFmtId="0" fontId="4" fillId="0" borderId="1" xfId="1" applyFont="1" applyFill="1" applyBorder="1" applyAlignment="1" applyProtection="1">
      <alignment vertical="center" wrapText="1"/>
    </xf>
    <xf numFmtId="0" fontId="4" fillId="0" borderId="0" xfId="17"/>
    <xf numFmtId="0" fontId="4" fillId="0" borderId="0" xfId="17" applyAlignment="1">
      <alignment wrapText="1"/>
    </xf>
    <xf numFmtId="0" fontId="8" fillId="0" borderId="0" xfId="17" applyFont="1" applyAlignment="1">
      <alignment horizontal="center" vertical="center" wrapText="1"/>
    </xf>
    <xf numFmtId="0" fontId="4" fillId="0" borderId="1" xfId="17" applyFont="1" applyBorder="1" applyAlignment="1">
      <alignment horizontal="left" vertical="center" wrapText="1"/>
    </xf>
    <xf numFmtId="0" fontId="4" fillId="0" borderId="1" xfId="17" applyBorder="1" applyAlignment="1">
      <alignment horizontal="left" vertical="center" wrapText="1"/>
    </xf>
    <xf numFmtId="0" fontId="4" fillId="0" borderId="1" xfId="17" applyBorder="1" applyAlignment="1">
      <alignment horizontal="left" vertical="top" wrapText="1"/>
    </xf>
    <xf numFmtId="0" fontId="4" fillId="0" borderId="1" xfId="17" applyBorder="1" applyAlignment="1">
      <alignment horizontal="center" vertical="center"/>
    </xf>
    <xf numFmtId="0" fontId="4" fillId="0" borderId="1" xfId="17" applyFill="1" applyBorder="1" applyAlignment="1">
      <alignment horizontal="left" vertical="center" wrapText="1"/>
    </xf>
    <xf numFmtId="0" fontId="4" fillId="0" borderId="1" xfId="17" applyFont="1" applyBorder="1" applyAlignment="1">
      <alignment horizontal="left" vertical="top" wrapText="1"/>
    </xf>
    <xf numFmtId="0" fontId="4" fillId="0" borderId="0" xfId="17" applyFont="1"/>
    <xf numFmtId="0" fontId="4" fillId="0" borderId="1" xfId="17" applyBorder="1" applyAlignment="1">
      <alignment horizontal="left" vertical="center"/>
    </xf>
    <xf numFmtId="0" fontId="4" fillId="0" borderId="1" xfId="17" applyFont="1" applyBorder="1" applyAlignment="1">
      <alignment horizontal="left" vertical="center"/>
    </xf>
    <xf numFmtId="0" fontId="4" fillId="0" borderId="1" xfId="0" applyFont="1" applyBorder="1"/>
    <xf numFmtId="0" fontId="7" fillId="0" borderId="1" xfId="14" applyFont="1" applyFill="1" applyBorder="1" applyAlignment="1">
      <alignment vertical="top"/>
    </xf>
    <xf numFmtId="0" fontId="16" fillId="0" borderId="1" xfId="2" applyFont="1" applyBorder="1" applyAlignment="1">
      <alignment horizontal="center" vertical="center" wrapText="1"/>
    </xf>
    <xf numFmtId="0" fontId="16" fillId="0" borderId="5" xfId="1" applyFont="1" applyBorder="1" applyAlignment="1">
      <alignment horizontal="left" vertical="center" wrapText="1" indent="1"/>
    </xf>
    <xf numFmtId="0" fontId="24" fillId="0" borderId="0" xfId="2" applyFont="1" applyBorder="1" applyAlignment="1">
      <alignment horizontal="center" vertical="center" wrapText="1"/>
    </xf>
    <xf numFmtId="0" fontId="4" fillId="0" borderId="0" xfId="18"/>
    <xf numFmtId="0" fontId="24" fillId="8" borderId="1" xfId="18" applyFont="1" applyFill="1" applyBorder="1" applyAlignment="1">
      <alignment horizontal="center" vertical="center" wrapText="1"/>
    </xf>
    <xf numFmtId="0" fontId="16" fillId="0" borderId="1" xfId="18" applyFont="1" applyBorder="1" applyAlignment="1">
      <alignment horizontal="center" vertical="center" wrapText="1"/>
    </xf>
    <xf numFmtId="166" fontId="16" fillId="0" borderId="1" xfId="18" applyNumberFormat="1" applyFont="1" applyBorder="1" applyAlignment="1">
      <alignment horizontal="center" vertical="center" wrapText="1"/>
    </xf>
    <xf numFmtId="14" fontId="16" fillId="0" borderId="1" xfId="18" applyNumberFormat="1" applyFont="1" applyBorder="1" applyAlignment="1">
      <alignment horizontal="center" vertical="center" wrapText="1"/>
    </xf>
    <xf numFmtId="0" fontId="16" fillId="0" borderId="1" xfId="18" applyFont="1" applyBorder="1" applyAlignment="1">
      <alignment vertical="center" wrapText="1"/>
    </xf>
    <xf numFmtId="0" fontId="16" fillId="0" borderId="1" xfId="18" applyFont="1" applyBorder="1" applyAlignment="1">
      <alignment horizontal="left" vertical="center" wrapText="1"/>
    </xf>
    <xf numFmtId="0" fontId="16" fillId="0" borderId="0" xfId="2" applyFont="1" applyBorder="1" applyAlignment="1">
      <alignment horizontal="center" vertical="top" wrapText="1"/>
    </xf>
    <xf numFmtId="0" fontId="16" fillId="0" borderId="0" xfId="2" applyFont="1" applyBorder="1" applyAlignment="1">
      <alignment vertical="top" wrapText="1"/>
    </xf>
    <xf numFmtId="0" fontId="4" fillId="0" borderId="1" xfId="18" applyBorder="1" applyAlignment="1">
      <alignment horizontal="center"/>
    </xf>
    <xf numFmtId="0" fontId="24" fillId="9" borderId="1" xfId="1" applyFont="1" applyFill="1" applyBorder="1" applyAlignment="1">
      <alignment horizontal="center" vertical="center" wrapText="1"/>
    </xf>
    <xf numFmtId="0" fontId="30" fillId="9" borderId="1" xfId="9" applyFont="1" applyFill="1" applyBorder="1" applyAlignment="1">
      <alignment horizontal="center" vertical="center" wrapText="1"/>
    </xf>
    <xf numFmtId="0" fontId="16" fillId="0" borderId="1" xfId="2" applyFont="1" applyBorder="1" applyAlignment="1">
      <alignment horizontal="center" vertical="top" wrapText="1"/>
    </xf>
    <xf numFmtId="0" fontId="8" fillId="9" borderId="1" xfId="0" applyFont="1" applyFill="1" applyBorder="1" applyAlignment="1">
      <alignment horizontal="center"/>
    </xf>
    <xf numFmtId="0" fontId="8" fillId="9" borderId="1" xfId="8" applyFont="1" applyFill="1" applyBorder="1" applyAlignment="1">
      <alignment horizontal="center"/>
    </xf>
    <xf numFmtId="0" fontId="24" fillId="2" borderId="1" xfId="4" applyFont="1" applyFill="1" applyBorder="1" applyAlignment="1">
      <alignment horizontal="center" vertical="center"/>
    </xf>
    <xf numFmtId="0" fontId="4" fillId="0" borderId="1" xfId="1" applyFont="1" applyFill="1" applyBorder="1" applyAlignment="1">
      <alignment vertical="center" wrapText="1"/>
    </xf>
    <xf numFmtId="0" fontId="16" fillId="0" borderId="3" xfId="2" applyFont="1" applyBorder="1" applyAlignment="1"/>
    <xf numFmtId="0" fontId="34" fillId="7" borderId="1" xfId="9" applyFont="1" applyFill="1" applyBorder="1" applyProtection="1">
      <protection locked="0"/>
    </xf>
    <xf numFmtId="0" fontId="34" fillId="0" borderId="1" xfId="15" quotePrefix="1" applyFont="1" applyBorder="1" applyAlignment="1" applyProtection="1">
      <alignment horizontal="center"/>
      <protection locked="0"/>
    </xf>
    <xf numFmtId="0" fontId="24" fillId="0" borderId="1" xfId="2" applyFont="1" applyBorder="1" applyAlignment="1"/>
    <xf numFmtId="0" fontId="30" fillId="6" borderId="1" xfId="9" applyFont="1" applyFill="1" applyBorder="1" applyAlignment="1" applyProtection="1">
      <alignment vertical="top" wrapText="1"/>
      <protection locked="0"/>
    </xf>
    <xf numFmtId="0" fontId="11" fillId="0" borderId="0" xfId="9" applyFont="1"/>
    <xf numFmtId="0" fontId="16" fillId="0" borderId="1" xfId="9" applyFont="1" applyBorder="1" applyAlignment="1">
      <alignment horizontal="left" vertical="center" wrapText="1" indent="1"/>
    </xf>
    <xf numFmtId="0" fontId="0" fillId="0" borderId="1" xfId="0" applyBorder="1"/>
    <xf numFmtId="0" fontId="16" fillId="0" borderId="0" xfId="2" applyFont="1" applyBorder="1" applyAlignment="1">
      <alignment vertical="center" wrapText="1"/>
    </xf>
    <xf numFmtId="0" fontId="16" fillId="0" borderId="0" xfId="2" applyFont="1" applyBorder="1" applyAlignment="1">
      <alignment horizontal="center" vertical="center" wrapText="1"/>
    </xf>
    <xf numFmtId="0" fontId="24" fillId="0" borderId="0" xfId="2" applyFont="1" applyBorder="1" applyAlignment="1">
      <alignment horizontal="center"/>
    </xf>
    <xf numFmtId="0" fontId="16" fillId="0" borderId="0" xfId="2" applyFont="1" applyBorder="1" applyAlignment="1"/>
    <xf numFmtId="0" fontId="16" fillId="0" borderId="0" xfId="2" applyFont="1" applyBorder="1" applyAlignment="1">
      <alignment horizontal="center"/>
    </xf>
    <xf numFmtId="0" fontId="24" fillId="0" borderId="2" xfId="2" applyFont="1" applyBorder="1" applyAlignment="1">
      <alignment horizontal="center" vertical="center" wrapText="1"/>
    </xf>
    <xf numFmtId="0" fontId="4" fillId="0" borderId="0" xfId="8"/>
    <xf numFmtId="0" fontId="0" fillId="0" borderId="0" xfId="9" applyFont="1" applyAlignment="1">
      <alignment horizontal="left"/>
    </xf>
    <xf numFmtId="0" fontId="29" fillId="0" borderId="0" xfId="9" applyFont="1" applyAlignment="1">
      <alignment horizontal="left"/>
    </xf>
    <xf numFmtId="0" fontId="8" fillId="2" borderId="19" xfId="28" applyFont="1" applyFill="1" applyBorder="1" applyAlignment="1" applyProtection="1">
      <alignment horizontal="center" vertical="center" wrapText="1"/>
    </xf>
    <xf numFmtId="0" fontId="8" fillId="2" borderId="20" xfId="28" applyFont="1" applyFill="1" applyBorder="1" applyAlignment="1" applyProtection="1">
      <alignment horizontal="center" vertical="center" wrapText="1"/>
    </xf>
    <xf numFmtId="0" fontId="8" fillId="2" borderId="21" xfId="28" applyFont="1" applyFill="1" applyBorder="1" applyAlignment="1" applyProtection="1">
      <alignment horizontal="center" vertical="center" wrapText="1"/>
    </xf>
    <xf numFmtId="0" fontId="4" fillId="0" borderId="16" xfId="9" applyFont="1" applyFill="1" applyBorder="1" applyAlignment="1">
      <alignment horizontal="center" vertical="center" wrapText="1"/>
    </xf>
    <xf numFmtId="0" fontId="4" fillId="0" borderId="22" xfId="9" applyFont="1" applyFill="1" applyBorder="1" applyAlignment="1">
      <alignment horizontal="left" vertical="center" wrapText="1"/>
    </xf>
    <xf numFmtId="0" fontId="4" fillId="7" borderId="17" xfId="9" applyFont="1" applyFill="1" applyBorder="1" applyAlignment="1">
      <alignment horizontal="center" vertical="center" wrapText="1"/>
    </xf>
    <xf numFmtId="0" fontId="4" fillId="7" borderId="22" xfId="9" applyFont="1" applyFill="1" applyBorder="1"/>
    <xf numFmtId="0" fontId="4" fillId="0" borderId="23" xfId="9" applyFont="1" applyFill="1" applyBorder="1" applyAlignment="1">
      <alignment horizontal="center" vertical="center" wrapText="1"/>
    </xf>
    <xf numFmtId="0" fontId="4" fillId="7" borderId="0" xfId="9" applyFont="1" applyFill="1" applyBorder="1" applyAlignment="1">
      <alignment horizontal="center" vertical="center" wrapText="1"/>
    </xf>
    <xf numFmtId="0" fontId="4" fillId="7" borderId="24" xfId="9" applyFont="1" applyFill="1" applyBorder="1"/>
    <xf numFmtId="0" fontId="4" fillId="7" borderId="22" xfId="9" applyFont="1" applyFill="1" applyBorder="1" applyAlignment="1">
      <alignment vertical="center" wrapText="1"/>
    </xf>
    <xf numFmtId="0" fontId="4" fillId="0" borderId="24" xfId="9" applyFont="1" applyFill="1" applyBorder="1" applyAlignment="1">
      <alignment horizontal="left" vertical="center" wrapText="1"/>
    </xf>
    <xf numFmtId="0" fontId="4" fillId="7" borderId="21" xfId="9" applyFont="1" applyFill="1" applyBorder="1" applyAlignment="1">
      <alignment horizontal="center" vertical="center" wrapText="1"/>
    </xf>
    <xf numFmtId="0" fontId="4" fillId="0" borderId="0" xfId="9" applyFont="1" applyAlignment="1">
      <alignment horizontal="left" wrapText="1"/>
    </xf>
    <xf numFmtId="0" fontId="4" fillId="0" borderId="0" xfId="8" applyBorder="1"/>
    <xf numFmtId="0" fontId="36" fillId="0" borderId="0" xfId="9" applyFont="1" applyAlignment="1">
      <alignment horizontal="left"/>
    </xf>
    <xf numFmtId="0" fontId="24" fillId="0" borderId="0" xfId="2" applyFont="1" applyBorder="1" applyAlignment="1"/>
    <xf numFmtId="0" fontId="24" fillId="0" borderId="0" xfId="2" applyFont="1" applyBorder="1" applyAlignment="1">
      <alignment horizontal="center" vertical="center"/>
    </xf>
    <xf numFmtId="0" fontId="0" fillId="0" borderId="0" xfId="0" applyBorder="1"/>
    <xf numFmtId="0" fontId="4" fillId="0" borderId="0" xfId="0" applyFont="1" applyBorder="1"/>
    <xf numFmtId="0" fontId="9" fillId="0" borderId="0" xfId="12" applyFont="1" applyBorder="1"/>
    <xf numFmtId="0" fontId="9" fillId="0" borderId="0" xfId="12" applyFont="1" applyFill="1" applyBorder="1"/>
    <xf numFmtId="0" fontId="7" fillId="0" borderId="0" xfId="14" applyFont="1" applyFill="1" applyBorder="1" applyAlignment="1">
      <alignment vertical="top"/>
    </xf>
    <xf numFmtId="0" fontId="9" fillId="0" borderId="0" xfId="0" applyFont="1" applyBorder="1"/>
    <xf numFmtId="0" fontId="4" fillId="0" borderId="1" xfId="1" applyFont="1" applyFill="1" applyBorder="1" applyAlignment="1" applyProtection="1">
      <alignment horizontal="center" vertical="center" wrapText="1"/>
      <protection locked="0"/>
    </xf>
    <xf numFmtId="0" fontId="8" fillId="0" borderId="0" xfId="2" applyFont="1" applyAlignment="1" applyProtection="1">
      <alignment horizontal="center" vertical="center"/>
    </xf>
    <xf numFmtId="14" fontId="16" fillId="0" borderId="1" xfId="6" applyNumberFormat="1" applyFont="1" applyBorder="1" applyAlignment="1" applyProtection="1">
      <alignment horizontal="center" vertical="center" wrapText="1"/>
      <protection locked="0"/>
    </xf>
    <xf numFmtId="0" fontId="4" fillId="0" borderId="1" xfId="1" applyNumberFormat="1" applyFont="1" applyFill="1" applyBorder="1" applyAlignment="1" applyProtection="1">
      <alignment horizontal="center" vertical="center"/>
    </xf>
    <xf numFmtId="0" fontId="4" fillId="0" borderId="1" xfId="1" applyFont="1" applyFill="1" applyBorder="1" applyAlignment="1">
      <alignment horizontal="center" vertical="center"/>
    </xf>
    <xf numFmtId="3" fontId="15" fillId="2" borderId="1" xfId="4" applyNumberFormat="1" applyFont="1" applyFill="1" applyBorder="1" applyAlignment="1">
      <alignment horizontal="center" vertical="center" wrapText="1"/>
    </xf>
    <xf numFmtId="0" fontId="24" fillId="0" borderId="2" xfId="2" applyFont="1" applyBorder="1" applyAlignment="1">
      <alignment vertical="center" wrapText="1"/>
    </xf>
    <xf numFmtId="0" fontId="34" fillId="7" borderId="1" xfId="9" applyFont="1" applyFill="1" applyBorder="1" applyAlignment="1" applyProtection="1">
      <alignment horizontal="center" vertical="center"/>
      <protection locked="0"/>
    </xf>
    <xf numFmtId="0" fontId="0" fillId="0" borderId="0" xfId="0" applyAlignment="1">
      <alignment vertical="center"/>
    </xf>
    <xf numFmtId="0" fontId="0" fillId="0" borderId="0" xfId="0" applyAlignment="1" applyProtection="1">
      <alignment horizontal="center" vertical="center"/>
      <protection locked="0"/>
    </xf>
    <xf numFmtId="14" fontId="31" fillId="7" borderId="1" xfId="9" applyNumberFormat="1" applyFont="1" applyFill="1" applyBorder="1" applyAlignment="1" applyProtection="1">
      <alignment horizontal="center" vertical="center"/>
      <protection locked="0"/>
    </xf>
    <xf numFmtId="0" fontId="0" fillId="0" borderId="0" xfId="0" applyAlignment="1">
      <alignment horizontal="center" vertical="center"/>
    </xf>
    <xf numFmtId="0" fontId="31" fillId="7" borderId="1" xfId="9" applyFont="1" applyFill="1" applyBorder="1" applyAlignment="1">
      <alignment vertical="center"/>
    </xf>
    <xf numFmtId="0" fontId="4" fillId="0" borderId="1" xfId="1" quotePrefix="1" applyNumberFormat="1" applyFont="1" applyFill="1" applyBorder="1" applyAlignment="1">
      <alignment horizontal="center" vertical="center"/>
    </xf>
    <xf numFmtId="0" fontId="0" fillId="0" borderId="0" xfId="0" applyAlignment="1">
      <alignment horizontal="center"/>
    </xf>
    <xf numFmtId="0" fontId="0" fillId="0" borderId="0" xfId="9" applyFont="1" applyFill="1" applyBorder="1" applyAlignment="1">
      <alignment horizontal="center"/>
    </xf>
    <xf numFmtId="0" fontId="0" fillId="0" borderId="0" xfId="9" applyFont="1" applyAlignment="1" applyProtection="1">
      <alignment horizontal="center" wrapText="1"/>
      <protection locked="0"/>
    </xf>
    <xf numFmtId="0" fontId="32" fillId="0" borderId="0" xfId="9" applyFont="1" applyFill="1" applyBorder="1" applyAlignment="1" applyProtection="1">
      <alignment horizontal="center" vertical="center" wrapText="1"/>
      <protection locked="0"/>
    </xf>
    <xf numFmtId="0" fontId="31" fillId="7" borderId="1" xfId="9" applyFont="1" applyFill="1" applyBorder="1" applyAlignment="1">
      <alignment horizontal="center" vertical="center"/>
    </xf>
    <xf numFmtId="14" fontId="31" fillId="7" borderId="1" xfId="9" applyNumberFormat="1" applyFont="1" applyFill="1" applyBorder="1" applyAlignment="1">
      <alignment horizontal="center" vertical="center"/>
    </xf>
    <xf numFmtId="0" fontId="31" fillId="7" borderId="1" xfId="9" applyFont="1" applyFill="1" applyBorder="1" applyAlignment="1">
      <alignment horizontal="center"/>
    </xf>
    <xf numFmtId="0" fontId="4" fillId="0" borderId="1" xfId="1" applyFont="1" applyFill="1" applyBorder="1" applyAlignment="1" applyProtection="1">
      <alignment horizontal="center" vertical="center" wrapText="1"/>
      <protection hidden="1"/>
    </xf>
    <xf numFmtId="0" fontId="1" fillId="7" borderId="1" xfId="9" applyFont="1" applyFill="1" applyBorder="1" applyAlignment="1">
      <alignment horizontal="center" vertical="center" wrapText="1"/>
    </xf>
    <xf numFmtId="0" fontId="1" fillId="7" borderId="1" xfId="9" applyFont="1" applyFill="1" applyBorder="1" applyAlignment="1" applyProtection="1">
      <alignment horizontal="center" vertical="center" wrapText="1"/>
      <protection locked="0"/>
    </xf>
    <xf numFmtId="0" fontId="1" fillId="7" borderId="1" xfId="9" applyFont="1" applyFill="1" applyBorder="1" applyAlignment="1">
      <alignment horizontal="center" vertical="center"/>
    </xf>
    <xf numFmtId="14" fontId="1" fillId="7" borderId="1" xfId="9" applyNumberFormat="1" applyFont="1" applyFill="1" applyBorder="1" applyAlignment="1">
      <alignment horizontal="center"/>
    </xf>
    <xf numFmtId="0" fontId="1" fillId="7" borderId="1" xfId="9" quotePrefix="1" applyFont="1" applyFill="1" applyBorder="1" applyAlignment="1">
      <alignment horizontal="center" vertical="center" wrapText="1"/>
    </xf>
    <xf numFmtId="0" fontId="0" fillId="0" borderId="3" xfId="1" applyFont="1" applyFill="1" applyBorder="1" applyAlignment="1">
      <alignment horizontal="left" vertical="center" wrapText="1"/>
    </xf>
    <xf numFmtId="0" fontId="0" fillId="0" borderId="2" xfId="1" applyFont="1" applyFill="1" applyBorder="1" applyAlignment="1">
      <alignment horizontal="left" vertical="center" wrapText="1"/>
    </xf>
    <xf numFmtId="0" fontId="4" fillId="0" borderId="2" xfId="1" applyFont="1" applyFill="1" applyBorder="1" applyAlignment="1">
      <alignment horizontal="left" vertical="center" wrapText="1"/>
    </xf>
    <xf numFmtId="0" fontId="24" fillId="0" borderId="0" xfId="2" applyFont="1" applyBorder="1" applyAlignment="1">
      <alignment horizontal="center" vertical="top" wrapText="1"/>
    </xf>
    <xf numFmtId="0" fontId="0" fillId="0" borderId="0" xfId="0" applyAlignment="1">
      <alignment vertical="top"/>
    </xf>
    <xf numFmtId="0" fontId="33" fillId="6" borderId="1" xfId="2" applyFont="1" applyFill="1" applyBorder="1" applyAlignment="1">
      <alignment horizontal="center" vertical="top" wrapText="1"/>
    </xf>
    <xf numFmtId="0" fontId="4" fillId="0" borderId="1" xfId="0" applyFont="1" applyBorder="1" applyAlignment="1">
      <alignment vertical="top" wrapText="1"/>
    </xf>
    <xf numFmtId="0" fontId="1" fillId="7" borderId="1" xfId="9" applyFont="1" applyFill="1" applyBorder="1" applyAlignment="1">
      <alignment vertical="top" wrapText="1"/>
    </xf>
    <xf numFmtId="0" fontId="31" fillId="7" borderId="1" xfId="9" applyFont="1" applyFill="1" applyBorder="1" applyAlignment="1">
      <alignment vertical="top"/>
    </xf>
    <xf numFmtId="14" fontId="31" fillId="7" borderId="1" xfId="9" applyNumberFormat="1" applyFont="1" applyFill="1" applyBorder="1" applyAlignment="1">
      <alignment horizontal="center" vertical="center" wrapText="1"/>
    </xf>
    <xf numFmtId="0" fontId="24" fillId="0" borderId="0" xfId="2" applyFont="1" applyBorder="1" applyAlignment="1">
      <alignment horizontal="left" vertical="center" wrapText="1"/>
    </xf>
    <xf numFmtId="0" fontId="0" fillId="0" borderId="0" xfId="0" applyAlignment="1">
      <alignment horizontal="left" vertical="center"/>
    </xf>
    <xf numFmtId="0" fontId="0" fillId="0" borderId="0" xfId="9" applyFont="1" applyAlignment="1" applyProtection="1">
      <alignment horizontal="left" vertical="center" wrapText="1"/>
      <protection locked="0"/>
    </xf>
    <xf numFmtId="0" fontId="33" fillId="6" borderId="1" xfId="2" applyFont="1" applyFill="1" applyBorder="1" applyAlignment="1">
      <alignment horizontal="left" vertical="center" wrapText="1"/>
    </xf>
    <xf numFmtId="0" fontId="1" fillId="7" borderId="1" xfId="9" quotePrefix="1" applyFont="1" applyFill="1" applyBorder="1" applyAlignment="1">
      <alignment horizontal="left" vertical="center" wrapText="1"/>
    </xf>
    <xf numFmtId="0" fontId="31" fillId="7" borderId="1" xfId="9" applyFont="1" applyFill="1" applyBorder="1" applyAlignment="1">
      <alignment horizontal="left" vertical="center"/>
    </xf>
    <xf numFmtId="0" fontId="1" fillId="7" borderId="1" xfId="9" applyFont="1" applyFill="1" applyBorder="1" applyAlignment="1">
      <alignment horizontal="center"/>
    </xf>
    <xf numFmtId="0" fontId="1" fillId="7" borderId="1" xfId="9" applyFont="1" applyFill="1" applyBorder="1" applyAlignment="1">
      <alignment horizontal="left" vertical="center" wrapText="1"/>
    </xf>
    <xf numFmtId="0" fontId="0" fillId="0" borderId="3" xfId="1" applyFont="1" applyFill="1" applyBorder="1" applyAlignment="1">
      <alignment horizontal="left" vertical="center"/>
    </xf>
    <xf numFmtId="0" fontId="4" fillId="0" borderId="1" xfId="1" applyFont="1" applyFill="1" applyBorder="1"/>
    <xf numFmtId="164" fontId="4" fillId="0" borderId="1" xfId="1" applyNumberFormat="1" applyFont="1" applyFill="1" applyBorder="1"/>
    <xf numFmtId="4" fontId="14" fillId="0" borderId="0" xfId="1" applyNumberFormat="1" applyFont="1" applyAlignment="1">
      <alignment vertical="center"/>
    </xf>
    <xf numFmtId="4" fontId="12" fillId="0" borderId="0" xfId="1" applyNumberFormat="1" applyFont="1" applyAlignment="1">
      <alignment vertical="center"/>
    </xf>
    <xf numFmtId="0" fontId="4" fillId="0" borderId="8" xfId="18" applyBorder="1" applyAlignment="1">
      <alignment horizontal="center"/>
    </xf>
    <xf numFmtId="0" fontId="4" fillId="0" borderId="9" xfId="18" applyBorder="1" applyAlignment="1">
      <alignment horizontal="center"/>
    </xf>
    <xf numFmtId="0" fontId="4" fillId="0" borderId="10" xfId="18" applyBorder="1" applyAlignment="1">
      <alignment horizontal="center"/>
    </xf>
    <xf numFmtId="0" fontId="4" fillId="0" borderId="11" xfId="18" applyBorder="1" applyAlignment="1">
      <alignment horizontal="center"/>
    </xf>
    <xf numFmtId="0" fontId="24" fillId="0" borderId="8" xfId="18" applyFont="1" applyBorder="1" applyAlignment="1">
      <alignment horizontal="center" vertical="center" wrapText="1"/>
    </xf>
    <xf numFmtId="0" fontId="24" fillId="0" borderId="12" xfId="18" applyFont="1" applyBorder="1" applyAlignment="1">
      <alignment horizontal="center" vertical="center" wrapText="1"/>
    </xf>
    <xf numFmtId="0" fontId="24" fillId="0" borderId="9" xfId="18" applyFont="1" applyBorder="1" applyAlignment="1">
      <alignment horizontal="center" vertical="center" wrapText="1"/>
    </xf>
    <xf numFmtId="0" fontId="24" fillId="0" borderId="10" xfId="18" applyFont="1" applyBorder="1" applyAlignment="1">
      <alignment horizontal="center" vertical="center" wrapText="1"/>
    </xf>
    <xf numFmtId="0" fontId="24" fillId="0" borderId="0" xfId="18" applyFont="1" applyBorder="1" applyAlignment="1">
      <alignment horizontal="center" vertical="center" wrapText="1"/>
    </xf>
    <xf numFmtId="0" fontId="24" fillId="0" borderId="11" xfId="18" applyFont="1" applyBorder="1" applyAlignment="1">
      <alignment horizontal="center" vertical="center" wrapText="1"/>
    </xf>
    <xf numFmtId="0" fontId="20" fillId="8" borderId="13" xfId="18" applyFont="1" applyFill="1" applyBorder="1" applyAlignment="1">
      <alignment horizontal="center" vertical="center" wrapText="1"/>
    </xf>
    <xf numFmtId="0" fontId="20" fillId="8" borderId="14" xfId="18" applyFont="1" applyFill="1" applyBorder="1" applyAlignment="1">
      <alignment horizontal="center" vertical="center" wrapText="1"/>
    </xf>
    <xf numFmtId="0" fontId="20" fillId="8" borderId="15" xfId="18" applyFont="1" applyFill="1" applyBorder="1" applyAlignment="1">
      <alignment horizontal="center" vertical="center" wrapText="1"/>
    </xf>
    <xf numFmtId="0" fontId="4" fillId="0" borderId="2" xfId="18" applyBorder="1" applyAlignment="1">
      <alignment horizontal="center"/>
    </xf>
    <xf numFmtId="0" fontId="4" fillId="0" borderId="3" xfId="18" applyBorder="1" applyAlignment="1">
      <alignment horizontal="center"/>
    </xf>
    <xf numFmtId="0" fontId="4" fillId="0" borderId="6" xfId="18" applyBorder="1" applyAlignment="1">
      <alignment horizontal="center"/>
    </xf>
    <xf numFmtId="0" fontId="16" fillId="0" borderId="5" xfId="18" applyFont="1" applyBorder="1" applyAlignment="1">
      <alignment horizontal="center" vertical="center"/>
    </xf>
    <xf numFmtId="0" fontId="16" fillId="0" borderId="7" xfId="18" applyFont="1" applyBorder="1" applyAlignment="1">
      <alignment horizontal="center" vertical="center"/>
    </xf>
    <xf numFmtId="0" fontId="16" fillId="0" borderId="2" xfId="2" applyFont="1" applyBorder="1" applyAlignment="1">
      <alignment horizontal="center" vertical="center" wrapText="1"/>
    </xf>
    <xf numFmtId="0" fontId="16" fillId="0" borderId="6" xfId="2" applyFont="1" applyBorder="1" applyAlignment="1">
      <alignment horizontal="center" vertical="center" wrapText="1"/>
    </xf>
    <xf numFmtId="0" fontId="16" fillId="0" borderId="3" xfId="2" applyFont="1" applyBorder="1" applyAlignment="1">
      <alignment horizontal="center" vertical="center" wrapText="1"/>
    </xf>
    <xf numFmtId="0" fontId="16" fillId="0" borderId="1" xfId="1" applyFont="1" applyBorder="1" applyAlignment="1">
      <alignment horizontal="left" wrapText="1" indent="1"/>
    </xf>
    <xf numFmtId="0" fontId="24" fillId="6" borderId="1" xfId="2" applyFont="1" applyFill="1" applyBorder="1" applyAlignment="1">
      <alignment horizontal="center" vertical="top"/>
    </xf>
    <xf numFmtId="0" fontId="24" fillId="6" borderId="1" xfId="1" applyFont="1" applyFill="1" applyBorder="1" applyAlignment="1">
      <alignment horizontal="center"/>
    </xf>
    <xf numFmtId="0" fontId="16" fillId="0" borderId="1" xfId="1" applyFont="1" applyBorder="1" applyAlignment="1">
      <alignment horizontal="left" vertical="center" wrapText="1" indent="1"/>
    </xf>
    <xf numFmtId="0" fontId="24" fillId="0" borderId="1" xfId="2" applyFont="1" applyBorder="1" applyAlignment="1">
      <alignment horizontal="center" vertical="top"/>
    </xf>
    <xf numFmtId="0" fontId="24" fillId="0" borderId="1" xfId="1" applyFont="1" applyBorder="1" applyAlignment="1">
      <alignment horizontal="center"/>
    </xf>
    <xf numFmtId="0" fontId="16" fillId="0" borderId="0" xfId="2" applyFont="1" applyFill="1" applyAlignment="1">
      <alignment horizontal="left" vertical="center" wrapText="1" indent="2"/>
    </xf>
    <xf numFmtId="0" fontId="24" fillId="0" borderId="0" xfId="2" applyFont="1" applyFill="1" applyAlignment="1">
      <alignment horizontal="left" vertical="top" wrapText="1"/>
    </xf>
    <xf numFmtId="0" fontId="16" fillId="0" borderId="0" xfId="2" applyFont="1" applyFill="1" applyAlignment="1">
      <alignment horizontal="left" vertical="top" wrapText="1"/>
    </xf>
    <xf numFmtId="0" fontId="16" fillId="0" borderId="1" xfId="9" applyFont="1" applyBorder="1" applyAlignment="1">
      <alignment horizontal="left" wrapText="1" indent="1"/>
    </xf>
    <xf numFmtId="0" fontId="16" fillId="0" borderId="2" xfId="9" applyFont="1" applyBorder="1" applyAlignment="1">
      <alignment horizontal="left" vertical="center" wrapText="1" indent="1"/>
    </xf>
    <xf numFmtId="0" fontId="16" fillId="0" borderId="6" xfId="9" applyFont="1" applyBorder="1" applyAlignment="1">
      <alignment horizontal="left" vertical="center" wrapText="1" indent="1"/>
    </xf>
    <xf numFmtId="0" fontId="16" fillId="0" borderId="3" xfId="9" applyFont="1" applyBorder="1" applyAlignment="1">
      <alignment horizontal="left" vertical="center" wrapText="1" indent="1"/>
    </xf>
    <xf numFmtId="0" fontId="24" fillId="2" borderId="1" xfId="1" applyFont="1" applyFill="1" applyBorder="1" applyAlignment="1">
      <alignment horizontal="center" vertical="center" wrapText="1"/>
    </xf>
    <xf numFmtId="0" fontId="16" fillId="0" borderId="0" xfId="2" applyFont="1" applyFill="1" applyAlignment="1">
      <alignment horizontal="left" vertical="center" wrapText="1" indent="1"/>
    </xf>
    <xf numFmtId="0" fontId="16" fillId="0" borderId="0" xfId="2" applyFont="1" applyFill="1" applyAlignment="1">
      <alignment horizontal="left" vertical="top" wrapText="1" indent="2"/>
    </xf>
    <xf numFmtId="0" fontId="24" fillId="0" borderId="0" xfId="2" applyFont="1" applyFill="1" applyAlignment="1">
      <alignment horizontal="left" vertical="center" wrapText="1"/>
    </xf>
    <xf numFmtId="0" fontId="16" fillId="0" borderId="0" xfId="2" applyFont="1" applyFill="1" applyAlignment="1">
      <alignment horizontal="left" vertical="center" wrapText="1"/>
    </xf>
    <xf numFmtId="0" fontId="24" fillId="2" borderId="1" xfId="9" applyFont="1" applyFill="1" applyBorder="1" applyAlignment="1">
      <alignment horizontal="center" vertical="center" wrapText="1"/>
    </xf>
    <xf numFmtId="0" fontId="30" fillId="9" borderId="1" xfId="9" applyFont="1" applyFill="1" applyBorder="1" applyAlignment="1">
      <alignment horizontal="center" vertical="center" wrapText="1"/>
    </xf>
    <xf numFmtId="0" fontId="24" fillId="9" borderId="1" xfId="2" applyFont="1" applyFill="1" applyBorder="1" applyAlignment="1">
      <alignment horizontal="center" vertical="top"/>
    </xf>
    <xf numFmtId="0" fontId="24" fillId="9" borderId="1" xfId="9" applyFont="1" applyFill="1" applyBorder="1" applyAlignment="1">
      <alignment horizontal="center"/>
    </xf>
    <xf numFmtId="0" fontId="16" fillId="0" borderId="0" xfId="2" applyFont="1" applyFill="1" applyAlignment="1">
      <alignment horizontal="left" vertical="center" wrapText="1" indent="5"/>
    </xf>
    <xf numFmtId="0" fontId="24" fillId="2" borderId="1" xfId="4" applyFont="1" applyFill="1" applyBorder="1" applyAlignment="1">
      <alignment horizontal="center" vertical="center"/>
    </xf>
    <xf numFmtId="0" fontId="24" fillId="9" borderId="1" xfId="1" applyFont="1" applyFill="1" applyBorder="1" applyAlignment="1">
      <alignment horizontal="center" vertical="center" wrapText="1"/>
    </xf>
    <xf numFmtId="0" fontId="16" fillId="0" borderId="1" xfId="2" applyFont="1" applyBorder="1" applyAlignment="1">
      <alignment horizontal="left" vertical="center" wrapText="1"/>
    </xf>
    <xf numFmtId="0" fontId="16" fillId="0" borderId="0" xfId="2" applyFont="1" applyAlignment="1">
      <alignment horizontal="left" wrapText="1"/>
    </xf>
    <xf numFmtId="0" fontId="24" fillId="9" borderId="1" xfId="2" applyFont="1" applyFill="1" applyBorder="1" applyAlignment="1">
      <alignment horizontal="center" vertical="top" wrapText="1"/>
    </xf>
    <xf numFmtId="0" fontId="24" fillId="9" borderId="1" xfId="9" applyFont="1" applyFill="1" applyBorder="1" applyAlignment="1">
      <alignment horizontal="center" wrapText="1"/>
    </xf>
    <xf numFmtId="0" fontId="16" fillId="0" borderId="1" xfId="2" applyFont="1" applyBorder="1" applyAlignment="1">
      <alignment horizontal="left" vertical="top" wrapText="1"/>
    </xf>
    <xf numFmtId="0" fontId="11" fillId="0" borderId="1" xfId="9" applyFont="1" applyBorder="1" applyAlignment="1">
      <alignment wrapText="1"/>
    </xf>
    <xf numFmtId="0" fontId="24" fillId="0" borderId="2" xfId="2" applyFont="1" applyBorder="1" applyAlignment="1">
      <alignment horizontal="center" vertical="center" wrapText="1"/>
    </xf>
    <xf numFmtId="0" fontId="24" fillId="0" borderId="6" xfId="2" applyFont="1" applyBorder="1" applyAlignment="1">
      <alignment horizontal="center" vertical="center" wrapText="1"/>
    </xf>
    <xf numFmtId="0" fontId="24" fillId="0" borderId="3" xfId="2" applyFont="1" applyBorder="1" applyAlignment="1">
      <alignment horizontal="center" vertical="center" wrapText="1"/>
    </xf>
    <xf numFmtId="0" fontId="8" fillId="0" borderId="0" xfId="2" applyFont="1" applyAlignment="1" applyProtection="1">
      <alignment horizontal="center" vertical="center"/>
    </xf>
    <xf numFmtId="0" fontId="16" fillId="0" borderId="2" xfId="6" applyFont="1" applyBorder="1" applyAlignment="1" applyProtection="1">
      <alignment horizontal="center" vertical="center" wrapText="1"/>
      <protection locked="0"/>
    </xf>
    <xf numFmtId="0" fontId="16" fillId="0" borderId="3" xfId="6" applyFont="1" applyBorder="1" applyAlignment="1" applyProtection="1">
      <alignment horizontal="center" vertical="center" wrapText="1"/>
      <protection locked="0"/>
    </xf>
    <xf numFmtId="0" fontId="4" fillId="0" borderId="2" xfId="7" applyFont="1" applyBorder="1" applyAlignment="1" applyProtection="1">
      <alignment horizontal="center" vertical="center" wrapText="1"/>
      <protection locked="0"/>
    </xf>
    <xf numFmtId="0" fontId="4" fillId="0" borderId="3" xfId="7" applyFont="1" applyBorder="1" applyAlignment="1" applyProtection="1">
      <alignment horizontal="center" vertical="center" wrapText="1"/>
      <protection locked="0"/>
    </xf>
    <xf numFmtId="0" fontId="16" fillId="2" borderId="2" xfId="6" applyFont="1" applyFill="1" applyBorder="1" applyAlignment="1">
      <alignment horizontal="center" vertical="center" wrapText="1"/>
    </xf>
    <xf numFmtId="0" fontId="16" fillId="2" borderId="3" xfId="6" applyFont="1" applyFill="1" applyBorder="1" applyAlignment="1">
      <alignment horizontal="center" vertical="center" wrapText="1"/>
    </xf>
    <xf numFmtId="0" fontId="4" fillId="0" borderId="2" xfId="1" applyFont="1" applyFill="1" applyBorder="1" applyAlignment="1">
      <alignment horizontal="left" vertical="center" wrapText="1"/>
    </xf>
    <xf numFmtId="0" fontId="12" fillId="0" borderId="3" xfId="1" applyFont="1" applyFill="1" applyBorder="1" applyAlignment="1">
      <alignment horizontal="left" vertical="center"/>
    </xf>
    <xf numFmtId="0" fontId="13" fillId="3" borderId="2" xfId="4" applyFont="1" applyFill="1" applyBorder="1" applyAlignment="1">
      <alignment horizontal="left" vertical="center"/>
    </xf>
    <xf numFmtId="0" fontId="13" fillId="3" borderId="3" xfId="4" applyFont="1" applyFill="1" applyBorder="1" applyAlignment="1">
      <alignment horizontal="left" vertical="center"/>
    </xf>
    <xf numFmtId="0" fontId="4" fillId="0" borderId="12" xfId="1" applyFont="1" applyBorder="1" applyAlignment="1">
      <alignment vertical="center" wrapText="1"/>
    </xf>
    <xf numFmtId="0" fontId="8" fillId="3" borderId="5" xfId="1" applyFont="1" applyFill="1" applyBorder="1" applyAlignment="1" applyProtection="1">
      <alignment horizontal="center" vertical="center" wrapText="1"/>
    </xf>
    <xf numFmtId="0" fontId="10" fillId="3" borderId="7" xfId="1" applyFont="1" applyFill="1" applyBorder="1" applyAlignment="1" applyProtection="1">
      <alignment horizontal="center" vertical="center" wrapText="1"/>
    </xf>
    <xf numFmtId="0" fontId="8" fillId="3" borderId="4" xfId="1" applyFont="1" applyFill="1" applyBorder="1" applyAlignment="1" applyProtection="1">
      <alignment horizontal="center" vertical="center" wrapText="1"/>
    </xf>
    <xf numFmtId="0" fontId="8" fillId="3" borderId="1" xfId="1" applyFont="1" applyFill="1" applyBorder="1" applyAlignment="1" applyProtection="1">
      <alignment horizontal="center" vertical="center" wrapText="1"/>
    </xf>
    <xf numFmtId="0" fontId="8" fillId="3" borderId="5" xfId="1" applyFont="1" applyFill="1" applyBorder="1" applyAlignment="1" applyProtection="1">
      <alignment horizontal="center" vertical="center"/>
    </xf>
    <xf numFmtId="0" fontId="8" fillId="3" borderId="7" xfId="1" applyFont="1" applyFill="1" applyBorder="1" applyAlignment="1" applyProtection="1">
      <alignment horizontal="center" vertical="center"/>
    </xf>
    <xf numFmtId="0" fontId="16" fillId="0" borderId="2" xfId="2" applyFont="1" applyBorder="1" applyAlignment="1">
      <alignment horizontal="center" vertical="top" wrapText="1"/>
    </xf>
    <xf numFmtId="0" fontId="16" fillId="0" borderId="3" xfId="2" applyFont="1" applyBorder="1" applyAlignment="1">
      <alignment horizontal="center" vertical="top" wrapText="1"/>
    </xf>
    <xf numFmtId="0" fontId="8" fillId="2" borderId="2" xfId="1" applyFont="1" applyFill="1" applyBorder="1" applyAlignment="1">
      <alignment horizontal="center"/>
    </xf>
    <xf numFmtId="0" fontId="8" fillId="2" borderId="3" xfId="1" applyFont="1" applyFill="1" applyBorder="1" applyAlignment="1">
      <alignment horizontal="center"/>
    </xf>
    <xf numFmtId="0" fontId="24" fillId="2" borderId="2" xfId="6" applyFont="1" applyFill="1" applyBorder="1" applyAlignment="1">
      <alignment horizontal="center" vertical="center" wrapText="1"/>
    </xf>
    <xf numFmtId="0" fontId="24" fillId="2" borderId="3" xfId="6" applyFont="1" applyFill="1" applyBorder="1" applyAlignment="1">
      <alignment horizontal="center" vertical="center" wrapText="1"/>
    </xf>
    <xf numFmtId="0" fontId="4" fillId="0" borderId="3" xfId="1" applyFont="1" applyFill="1" applyBorder="1" applyAlignment="1">
      <alignment horizontal="left" vertical="center" wrapText="1"/>
    </xf>
    <xf numFmtId="0" fontId="1" fillId="7" borderId="2" xfId="9" applyFont="1" applyFill="1" applyBorder="1" applyAlignment="1">
      <alignment horizontal="center" vertical="center" wrapText="1"/>
    </xf>
    <xf numFmtId="0" fontId="1" fillId="7" borderId="3" xfId="9" applyFont="1" applyFill="1" applyBorder="1" applyAlignment="1">
      <alignment horizontal="center" vertical="center" wrapText="1"/>
    </xf>
    <xf numFmtId="0" fontId="16" fillId="0" borderId="2" xfId="6" applyFont="1" applyFill="1" applyBorder="1" applyAlignment="1">
      <alignment horizontal="center" vertical="center" wrapText="1"/>
    </xf>
    <xf numFmtId="0" fontId="16" fillId="0" borderId="6" xfId="6" applyFont="1" applyFill="1" applyBorder="1" applyAlignment="1">
      <alignment horizontal="center" vertical="center" wrapText="1"/>
    </xf>
    <xf numFmtId="0" fontId="16" fillId="0" borderId="3" xfId="6" applyFont="1" applyFill="1" applyBorder="1" applyAlignment="1">
      <alignment horizontal="center" vertical="center" wrapText="1"/>
    </xf>
    <xf numFmtId="0" fontId="24" fillId="2" borderId="6" xfId="6" applyFont="1" applyFill="1" applyBorder="1" applyAlignment="1">
      <alignment horizontal="center" vertical="center" wrapText="1"/>
    </xf>
    <xf numFmtId="0" fontId="30" fillId="6" borderId="2" xfId="9" applyFont="1" applyFill="1" applyBorder="1" applyAlignment="1" applyProtection="1">
      <alignment horizontal="left" vertical="top" wrapText="1"/>
      <protection locked="0"/>
    </xf>
    <xf numFmtId="0" fontId="30" fillId="6" borderId="6" xfId="9" applyFont="1" applyFill="1" applyBorder="1" applyAlignment="1" applyProtection="1">
      <alignment horizontal="left" vertical="top" wrapText="1"/>
      <protection locked="0"/>
    </xf>
    <xf numFmtId="0" fontId="30" fillId="6" borderId="3" xfId="9" applyFont="1" applyFill="1" applyBorder="1" applyAlignment="1" applyProtection="1">
      <alignment horizontal="left" vertical="top" wrapText="1"/>
      <protection locked="0"/>
    </xf>
    <xf numFmtId="0" fontId="30" fillId="6" borderId="1" xfId="9" applyFont="1" applyFill="1" applyBorder="1" applyAlignment="1" applyProtection="1">
      <alignment horizontal="left" vertical="top" wrapText="1"/>
      <protection locked="0"/>
    </xf>
    <xf numFmtId="0" fontId="24" fillId="0" borderId="2" xfId="2" applyFont="1" applyBorder="1" applyAlignment="1">
      <alignment horizontal="center"/>
    </xf>
    <xf numFmtId="0" fontId="24" fillId="0" borderId="6" xfId="2" applyFont="1" applyBorder="1" applyAlignment="1">
      <alignment horizontal="center"/>
    </xf>
    <xf numFmtId="0" fontId="34" fillId="7" borderId="2" xfId="9" applyFont="1" applyFill="1" applyBorder="1" applyAlignment="1">
      <alignment horizontal="left"/>
    </xf>
    <xf numFmtId="0" fontId="34" fillId="7" borderId="3" xfId="9" applyFont="1" applyFill="1" applyBorder="1" applyAlignment="1">
      <alignment horizontal="left"/>
    </xf>
    <xf numFmtId="0" fontId="24" fillId="0" borderId="3" xfId="2" applyFont="1" applyBorder="1" applyAlignment="1">
      <alignment horizontal="center"/>
    </xf>
    <xf numFmtId="0" fontId="24" fillId="0" borderId="1" xfId="2" applyFont="1" applyBorder="1" applyAlignment="1">
      <alignment horizontal="center" vertical="center" wrapText="1"/>
    </xf>
    <xf numFmtId="0" fontId="24" fillId="0" borderId="2" xfId="2" applyFont="1" applyBorder="1" applyAlignment="1">
      <alignment horizontal="center" vertical="center"/>
    </xf>
    <xf numFmtId="0" fontId="24" fillId="0" borderId="6" xfId="2" applyFont="1" applyBorder="1" applyAlignment="1">
      <alignment horizontal="center" vertical="center"/>
    </xf>
    <xf numFmtId="0" fontId="24" fillId="0" borderId="3" xfId="2" applyFont="1" applyBorder="1" applyAlignment="1">
      <alignment horizontal="center" vertical="center"/>
    </xf>
    <xf numFmtId="0" fontId="4" fillId="0" borderId="5" xfId="17" applyFont="1" applyBorder="1" applyAlignment="1">
      <alignment horizontal="left" vertical="center" wrapText="1"/>
    </xf>
    <xf numFmtId="0" fontId="4" fillId="0" borderId="4" xfId="17" applyBorder="1" applyAlignment="1">
      <alignment horizontal="left" vertical="center" wrapText="1"/>
    </xf>
    <xf numFmtId="0" fontId="4" fillId="0" borderId="5" xfId="17" applyBorder="1" applyAlignment="1">
      <alignment horizontal="left" vertical="top" wrapText="1"/>
    </xf>
    <xf numFmtId="0" fontId="4" fillId="0" borderId="4" xfId="17" applyBorder="1" applyAlignment="1">
      <alignment horizontal="left" vertical="top" wrapText="1"/>
    </xf>
    <xf numFmtId="0" fontId="4" fillId="0" borderId="5" xfId="17" applyBorder="1" applyAlignment="1">
      <alignment horizontal="center" vertical="center"/>
    </xf>
    <xf numFmtId="0" fontId="4" fillId="0" borderId="4" xfId="17" applyBorder="1" applyAlignment="1">
      <alignment horizontal="center" vertical="center"/>
    </xf>
    <xf numFmtId="0" fontId="4" fillId="0" borderId="5" xfId="17" applyFill="1" applyBorder="1" applyAlignment="1">
      <alignment horizontal="left" vertical="center" wrapText="1"/>
    </xf>
    <xf numFmtId="0" fontId="4" fillId="0" borderId="7" xfId="17" applyFill="1" applyBorder="1" applyAlignment="1">
      <alignment horizontal="left" vertical="center" wrapText="1"/>
    </xf>
    <xf numFmtId="0" fontId="4" fillId="0" borderId="8" xfId="17" applyBorder="1" applyAlignment="1">
      <alignment horizontal="left" vertical="top" wrapText="1"/>
    </xf>
    <xf numFmtId="0" fontId="4" fillId="0" borderId="10" xfId="17" applyBorder="1" applyAlignment="1">
      <alignment horizontal="left" vertical="top" wrapText="1"/>
    </xf>
    <xf numFmtId="0" fontId="4" fillId="0" borderId="9" xfId="17" applyBorder="1" applyAlignment="1">
      <alignment horizontal="center" vertical="center"/>
    </xf>
    <xf numFmtId="0" fontId="4" fillId="0" borderId="11" xfId="17" applyBorder="1" applyAlignment="1">
      <alignment horizontal="center" vertical="center"/>
    </xf>
    <xf numFmtId="0" fontId="4" fillId="0" borderId="5" xfId="17" applyFont="1" applyFill="1" applyBorder="1" applyAlignment="1">
      <alignment horizontal="left" vertical="center" wrapText="1"/>
    </xf>
    <xf numFmtId="0" fontId="4" fillId="0" borderId="4" xfId="17" applyFill="1" applyBorder="1" applyAlignment="1">
      <alignment horizontal="left" vertical="center" wrapText="1"/>
    </xf>
    <xf numFmtId="0" fontId="4" fillId="0" borderId="5" xfId="17" applyFont="1" applyBorder="1" applyAlignment="1">
      <alignment horizontal="left" vertical="top" wrapText="1"/>
    </xf>
    <xf numFmtId="0" fontId="4" fillId="0" borderId="7" xfId="17" applyBorder="1" applyAlignment="1">
      <alignment horizontal="left" vertical="top" wrapText="1"/>
    </xf>
    <xf numFmtId="0" fontId="4" fillId="0" borderId="7" xfId="17" applyBorder="1" applyAlignment="1">
      <alignment horizontal="center" vertical="center"/>
    </xf>
    <xf numFmtId="0" fontId="4" fillId="0" borderId="5" xfId="17" applyFont="1" applyFill="1" applyBorder="1" applyAlignment="1">
      <alignment horizontal="left" vertical="center"/>
    </xf>
    <xf numFmtId="0" fontId="4" fillId="0" borderId="7" xfId="17" applyFill="1" applyBorder="1" applyAlignment="1">
      <alignment horizontal="left" vertical="center"/>
    </xf>
    <xf numFmtId="0" fontId="4" fillId="0" borderId="4" xfId="17" applyFill="1" applyBorder="1" applyAlignment="1">
      <alignment horizontal="left" vertical="center"/>
    </xf>
    <xf numFmtId="0" fontId="4" fillId="0" borderId="4" xfId="9" applyFont="1" applyBorder="1"/>
    <xf numFmtId="0" fontId="4" fillId="0" borderId="4" xfId="17" applyFont="1" applyBorder="1" applyAlignment="1">
      <alignment horizontal="left" vertical="top" wrapText="1"/>
    </xf>
    <xf numFmtId="0" fontId="4" fillId="0" borderId="4" xfId="17" applyFont="1" applyBorder="1" applyAlignment="1">
      <alignment horizontal="center" vertical="center"/>
    </xf>
    <xf numFmtId="0" fontId="0" fillId="0" borderId="7" xfId="9" applyFont="1" applyBorder="1" applyAlignment="1"/>
    <xf numFmtId="0" fontId="0" fillId="0" borderId="4" xfId="9" applyFont="1" applyBorder="1" applyAlignment="1"/>
    <xf numFmtId="0" fontId="0" fillId="0" borderId="7" xfId="9" applyFont="1" applyBorder="1" applyAlignment="1">
      <alignment horizontal="center" vertical="center"/>
    </xf>
    <xf numFmtId="0" fontId="0" fillId="0" borderId="4" xfId="9" applyFont="1" applyBorder="1" applyAlignment="1">
      <alignment horizontal="center" vertical="center"/>
    </xf>
    <xf numFmtId="0" fontId="4" fillId="0" borderId="7" xfId="17" applyBorder="1" applyAlignment="1">
      <alignment horizontal="left" vertical="center" wrapText="1"/>
    </xf>
    <xf numFmtId="0" fontId="4" fillId="0" borderId="1" xfId="17" applyFont="1" applyBorder="1" applyAlignment="1">
      <alignment horizontal="left" vertical="center" wrapText="1"/>
    </xf>
    <xf numFmtId="0" fontId="4" fillId="0" borderId="1" xfId="17" applyBorder="1" applyAlignment="1">
      <alignment horizontal="left" vertical="center" wrapText="1"/>
    </xf>
    <xf numFmtId="0" fontId="4" fillId="0" borderId="1" xfId="17" applyFont="1" applyBorder="1" applyAlignment="1">
      <alignment horizontal="left" vertical="top" wrapText="1"/>
    </xf>
    <xf numFmtId="0" fontId="4" fillId="0" borderId="1" xfId="17" applyBorder="1" applyAlignment="1">
      <alignment horizontal="left" vertical="top" wrapText="1"/>
    </xf>
    <xf numFmtId="0" fontId="4" fillId="0" borderId="1" xfId="17" applyFont="1" applyBorder="1" applyAlignment="1">
      <alignment horizontal="center" vertical="center"/>
    </xf>
    <xf numFmtId="0" fontId="4" fillId="0" borderId="1" xfId="17" applyBorder="1" applyAlignment="1">
      <alignment horizontal="center" vertical="center"/>
    </xf>
    <xf numFmtId="0" fontId="8" fillId="2" borderId="1" xfId="1" applyFont="1" applyFill="1" applyBorder="1" applyAlignment="1">
      <alignment horizontal="center" vertical="center" wrapText="1"/>
    </xf>
    <xf numFmtId="0" fontId="20" fillId="6" borderId="16" xfId="9" applyFont="1" applyFill="1" applyBorder="1" applyAlignment="1">
      <alignment horizontal="center" vertical="center"/>
    </xf>
    <xf numFmtId="0" fontId="20" fillId="6" borderId="17" xfId="9" applyFont="1" applyFill="1" applyBorder="1" applyAlignment="1">
      <alignment horizontal="center" vertical="center"/>
    </xf>
    <xf numFmtId="0" fontId="20" fillId="6" borderId="18" xfId="9" applyFont="1" applyFill="1" applyBorder="1" applyAlignment="1">
      <alignment horizontal="center" vertical="center"/>
    </xf>
    <xf numFmtId="0" fontId="37" fillId="0" borderId="0" xfId="9" applyFont="1" applyAlignment="1">
      <alignment horizontal="left" vertical="center" wrapText="1"/>
    </xf>
  </cellXfs>
  <cellStyles count="35">
    <cellStyle name="Cancel" xfId="1"/>
    <cellStyle name="Cancel 2" xfId="9"/>
    <cellStyle name="Cancel 3" xfId="11"/>
    <cellStyle name="Cancel 4" xfId="16"/>
    <cellStyle name="Estilo 1" xfId="6"/>
    <cellStyle name="Estilo 1 2" xfId="10"/>
    <cellStyle name="Estilo 1 2 2" xfId="13"/>
    <cellStyle name="Euro" xfId="19"/>
    <cellStyle name="Euro 2" xfId="29"/>
    <cellStyle name="Normal" xfId="0" builtinId="0"/>
    <cellStyle name="Normal 2" xfId="8"/>
    <cellStyle name="Normal 2 2" xfId="18"/>
    <cellStyle name="Normal 2 3" xfId="20"/>
    <cellStyle name="Normal 3" xfId="12"/>
    <cellStyle name="Normal 3 2" xfId="21"/>
    <cellStyle name="Normal 3 2 2" xfId="30"/>
    <cellStyle name="Normal 3 3" xfId="22"/>
    <cellStyle name="Normal 3 3 2" xfId="31"/>
    <cellStyle name="Normal 3 4" xfId="23"/>
    <cellStyle name="Normal 3 4 2" xfId="32"/>
    <cellStyle name="Normal 3 5" xfId="24"/>
    <cellStyle name="Normal 3 5 2" xfId="33"/>
    <cellStyle name="Normal 5" xfId="14"/>
    <cellStyle name="Normal 6" xfId="15"/>
    <cellStyle name="Normal_7 1 2R21 Modelo de Estimación Desarrollo a Medida CASCADA" xfId="2"/>
    <cellStyle name="Normal_7 7 5 R03 Solicitud de cambios a requerimientos" xfId="3"/>
    <cellStyle name="Normal_7.3.02.R02 Plantilla WBS" xfId="4"/>
    <cellStyle name="Normal_Copy of 7.7.2.R01 Lista de items de configuracion_Generico2" xfId="5"/>
    <cellStyle name="Normal_Pre-Incepción" xfId="28"/>
    <cellStyle name="Normal_REQM Atributos de lmr" xfId="17"/>
    <cellStyle name="Normal_sst36" xfId="7"/>
    <cellStyle name="Porcentual 2" xfId="25"/>
    <cellStyle name="Porcentual 3" xfId="26"/>
    <cellStyle name="Style 1" xfId="27"/>
    <cellStyle name="Style 1 2" xfId="34"/>
  </cellStyles>
  <dxfs count="9">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52"/>
        </patternFill>
      </fill>
    </dxf>
    <dxf>
      <fill>
        <patternFill>
          <bgColor indexed="10"/>
        </patternFill>
      </fill>
    </dxf>
    <dxf>
      <font>
        <condense val="0"/>
        <extend val="0"/>
        <color indexed="8"/>
      </font>
      <fill>
        <patternFill>
          <bgColor indexed="53"/>
        </patternFill>
      </fill>
    </dxf>
  </dxfs>
  <tableStyles count="0" defaultTableStyle="TableStyleMedium9" defaultPivotStyle="PivotStyleLight16"/>
  <colors>
    <mruColors>
      <color rgb="FF0000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Radio" firstButton="1" lockText="1" noThreeD="1"/>
</file>

<file path=xl/ctrlProps/ctrlProp13.xml><?xml version="1.0" encoding="utf-8"?>
<formControlPr xmlns="http://schemas.microsoft.com/office/spreadsheetml/2009/9/main" objectType="Radio" checked="Checked"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checked="Checked" firstButton="1" lockText="1" noThreeD="1"/>
</file>

<file path=xl/ctrlProps/ctrlProp2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jpeg"/><Relationship Id="rId1" Type="http://schemas.openxmlformats.org/officeDocument/2006/relationships/image" Target="../media/image7.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7</xdr:col>
      <xdr:colOff>161925</xdr:colOff>
      <xdr:row>1</xdr:row>
      <xdr:rowOff>29114</xdr:rowOff>
    </xdr:from>
    <xdr:to>
      <xdr:col>7</xdr:col>
      <xdr:colOff>1390650</xdr:colOff>
      <xdr:row>2</xdr:row>
      <xdr:rowOff>238125</xdr:rowOff>
    </xdr:to>
    <xdr:pic>
      <xdr:nvPicPr>
        <xdr:cNvPr id="2" name="Picture 38" descr="LOGOTIPO GMD 2012 RGB"/>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15150" y="257714"/>
          <a:ext cx="1228725" cy="4757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180975</xdr:colOff>
          <xdr:row>1</xdr:row>
          <xdr:rowOff>66675</xdr:rowOff>
        </xdr:from>
        <xdr:to>
          <xdr:col>2</xdr:col>
          <xdr:colOff>561975</xdr:colOff>
          <xdr:row>3</xdr:row>
          <xdr:rowOff>0</xdr:rowOff>
        </xdr:to>
        <xdr:sp macro="" textlink="">
          <xdr:nvSpPr>
            <xdr:cNvPr id="29697" name="Object 1" hidden="1">
              <a:extLst>
                <a:ext uri="{63B3BB69-23CF-44E3-9099-C40C66FF867C}">
                  <a14:compatExt spid="_x0000_s2969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190500</xdr:colOff>
      <xdr:row>1</xdr:row>
      <xdr:rowOff>38100</xdr:rowOff>
    </xdr:from>
    <xdr:to>
      <xdr:col>6</xdr:col>
      <xdr:colOff>1343025</xdr:colOff>
      <xdr:row>1</xdr:row>
      <xdr:rowOff>532726</xdr:rowOff>
    </xdr:to>
    <xdr:pic>
      <xdr:nvPicPr>
        <xdr:cNvPr id="3"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6050" y="180975"/>
          <a:ext cx="1152525" cy="49462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428625</xdr:colOff>
          <xdr:row>1</xdr:row>
          <xdr:rowOff>38100</xdr:rowOff>
        </xdr:from>
        <xdr:to>
          <xdr:col>1</xdr:col>
          <xdr:colOff>1343025</xdr:colOff>
          <xdr:row>1</xdr:row>
          <xdr:rowOff>523875</xdr:rowOff>
        </xdr:to>
        <xdr:sp macro="" textlink="">
          <xdr:nvSpPr>
            <xdr:cNvPr id="16386" name="Object 2" hidden="1">
              <a:extLst>
                <a:ext uri="{63B3BB69-23CF-44E3-9099-C40C66FF867C}">
                  <a14:compatExt spid="_x0000_s163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190500</xdr:colOff>
      <xdr:row>1</xdr:row>
      <xdr:rowOff>38100</xdr:rowOff>
    </xdr:from>
    <xdr:to>
      <xdr:col>5</xdr:col>
      <xdr:colOff>1343025</xdr:colOff>
      <xdr:row>1</xdr:row>
      <xdr:rowOff>504151</xdr:rowOff>
    </xdr:to>
    <xdr:pic>
      <xdr:nvPicPr>
        <xdr:cNvPr id="4"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96050" y="180975"/>
          <a:ext cx="1152525" cy="49462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161925</xdr:colOff>
          <xdr:row>1</xdr:row>
          <xdr:rowOff>47625</xdr:rowOff>
        </xdr:from>
        <xdr:to>
          <xdr:col>1</xdr:col>
          <xdr:colOff>933450</xdr:colOff>
          <xdr:row>2</xdr:row>
          <xdr:rowOff>9525</xdr:rowOff>
        </xdr:to>
        <xdr:sp macro="" textlink="">
          <xdr:nvSpPr>
            <xdr:cNvPr id="17413" name="Object 5" hidden="1">
              <a:extLst>
                <a:ext uri="{63B3BB69-23CF-44E3-9099-C40C66FF867C}">
                  <a14:compatExt spid="_x0000_s1741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6</xdr:col>
      <xdr:colOff>190500</xdr:colOff>
      <xdr:row>1</xdr:row>
      <xdr:rowOff>123825</xdr:rowOff>
    </xdr:from>
    <xdr:to>
      <xdr:col>6</xdr:col>
      <xdr:colOff>1238250</xdr:colOff>
      <xdr:row>1</xdr:row>
      <xdr:rowOff>438151</xdr:rowOff>
    </xdr:to>
    <xdr:pic>
      <xdr:nvPicPr>
        <xdr:cNvPr id="6"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67525" y="285750"/>
          <a:ext cx="1047750" cy="314326"/>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3</xdr:col>
          <xdr:colOff>371475</xdr:colOff>
          <xdr:row>14</xdr:row>
          <xdr:rowOff>0</xdr:rowOff>
        </xdr:from>
        <xdr:to>
          <xdr:col>3</xdr:col>
          <xdr:colOff>1552575</xdr:colOff>
          <xdr:row>15</xdr:row>
          <xdr:rowOff>209550</xdr:rowOff>
        </xdr:to>
        <xdr:sp macro="" textlink="">
          <xdr:nvSpPr>
            <xdr:cNvPr id="5175" name="Button 55" hidden="1">
              <a:extLst>
                <a:ext uri="{63B3BB69-23CF-44E3-9099-C40C66FF867C}">
                  <a14:compatExt spid="_x0000_s5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PE" sz="1000" b="0" i="0" u="none" strike="noStrike" baseline="0">
                  <a:solidFill>
                    <a:srgbClr val="000000"/>
                  </a:solidFill>
                  <a:latin typeface="Arial"/>
                  <a:cs typeface="Arial"/>
                </a:rPr>
                <a:t>Calculador de Estimaciones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428625</xdr:colOff>
          <xdr:row>1</xdr:row>
          <xdr:rowOff>38100</xdr:rowOff>
        </xdr:from>
        <xdr:to>
          <xdr:col>1</xdr:col>
          <xdr:colOff>1343025</xdr:colOff>
          <xdr:row>2</xdr:row>
          <xdr:rowOff>0</xdr:rowOff>
        </xdr:to>
        <xdr:sp macro="" textlink="">
          <xdr:nvSpPr>
            <xdr:cNvPr id="5182" name="Object 62" hidden="1">
              <a:extLst>
                <a:ext uri="{63B3BB69-23CF-44E3-9099-C40C66FF867C}">
                  <a14:compatExt spid="_x0000_s51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0</xdr:colOff>
      <xdr:row>41</xdr:row>
      <xdr:rowOff>0</xdr:rowOff>
    </xdr:from>
    <xdr:to>
      <xdr:col>6</xdr:col>
      <xdr:colOff>141861</xdr:colOff>
      <xdr:row>52</xdr:row>
      <xdr:rowOff>37873</xdr:rowOff>
    </xdr:to>
    <xdr:pic>
      <xdr:nvPicPr>
        <xdr:cNvPr id="4" name="Imagen 3"/>
        <xdr:cNvPicPr>
          <a:picLocks noChangeAspect="1"/>
        </xdr:cNvPicPr>
      </xdr:nvPicPr>
      <xdr:blipFill>
        <a:blip xmlns:r="http://schemas.openxmlformats.org/officeDocument/2006/relationships" r:embed="rId2"/>
        <a:stretch>
          <a:fillRect/>
        </a:stretch>
      </xdr:blipFill>
      <xdr:spPr>
        <a:xfrm>
          <a:off x="219075" y="7905750"/>
          <a:ext cx="8114286" cy="1819048"/>
        </a:xfrm>
        <a:prstGeom prst="rect">
          <a:avLst/>
        </a:prstGeom>
        <a:ln>
          <a:solidFill>
            <a:schemeClr val="tx1"/>
          </a:solid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488950</xdr:colOff>
      <xdr:row>2</xdr:row>
      <xdr:rowOff>47625</xdr:rowOff>
    </xdr:from>
    <xdr:to>
      <xdr:col>9</xdr:col>
      <xdr:colOff>1704975</xdr:colOff>
      <xdr:row>2</xdr:row>
      <xdr:rowOff>569503</xdr:rowOff>
    </xdr:to>
    <xdr:pic>
      <xdr:nvPicPr>
        <xdr:cNvPr id="3"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032875" y="695325"/>
          <a:ext cx="1216025" cy="521878"/>
        </a:xfrm>
        <a:prstGeom prst="rect">
          <a:avLst/>
        </a:prstGeom>
      </xdr:spPr>
    </xdr:pic>
    <xdr:clientData/>
  </xdr:twoCellAnchor>
  <xdr:twoCellAnchor>
    <xdr:from>
      <xdr:col>1</xdr:col>
      <xdr:colOff>647700</xdr:colOff>
      <xdr:row>2</xdr:row>
      <xdr:rowOff>57150</xdr:rowOff>
    </xdr:from>
    <xdr:to>
      <xdr:col>1</xdr:col>
      <xdr:colOff>1581150</xdr:colOff>
      <xdr:row>2</xdr:row>
      <xdr:rowOff>552450</xdr:rowOff>
    </xdr:to>
    <xdr:pic>
      <xdr:nvPicPr>
        <xdr:cNvPr id="9260" name="Picture 44"/>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90575" y="704850"/>
          <a:ext cx="9334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488146</xdr:colOff>
      <xdr:row>1</xdr:row>
      <xdr:rowOff>11906</xdr:rowOff>
    </xdr:from>
    <xdr:to>
      <xdr:col>2</xdr:col>
      <xdr:colOff>4752</xdr:colOff>
      <xdr:row>2</xdr:row>
      <xdr:rowOff>52483</xdr:rowOff>
    </xdr:to>
    <xdr:pic>
      <xdr:nvPicPr>
        <xdr:cNvPr id="2" name="Picture 4" descr="C:\Documents and Settings\np375151\Desktop\logo\logo\Logo_sura.jpg"/>
        <xdr:cNvPicPr>
          <a:picLocks noChangeAspect="1" noChangeArrowheads="1"/>
        </xdr:cNvPicPr>
      </xdr:nvPicPr>
      <xdr:blipFill>
        <a:blip xmlns:r="http://schemas.openxmlformats.org/officeDocument/2006/relationships" r:embed="rId1" cstate="print"/>
        <a:srcRect/>
        <a:stretch>
          <a:fillRect/>
        </a:stretch>
      </xdr:blipFill>
      <xdr:spPr bwMode="auto">
        <a:xfrm>
          <a:off x="707221" y="173831"/>
          <a:ext cx="1559719" cy="573977"/>
        </a:xfrm>
        <a:prstGeom prst="rect">
          <a:avLst/>
        </a:prstGeom>
        <a:noFill/>
        <a:ln w="9525">
          <a:noFill/>
          <a:miter lim="800000"/>
          <a:headEnd/>
          <a:tailEnd/>
        </a:ln>
      </xdr:spPr>
    </xdr:pic>
    <xdr:clientData/>
  </xdr:twoCellAnchor>
  <xdr:twoCellAnchor editAs="oneCell">
    <xdr:from>
      <xdr:col>6</xdr:col>
      <xdr:colOff>152399</xdr:colOff>
      <xdr:row>1</xdr:row>
      <xdr:rowOff>28575</xdr:rowOff>
    </xdr:from>
    <xdr:to>
      <xdr:col>7</xdr:col>
      <xdr:colOff>533399</xdr:colOff>
      <xdr:row>1</xdr:row>
      <xdr:rowOff>515026</xdr:rowOff>
    </xdr:to>
    <xdr:pic>
      <xdr:nvPicPr>
        <xdr:cNvPr id="4" name="Picture 12"/>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0024" y="190500"/>
          <a:ext cx="1133475" cy="486451"/>
        </a:xfrm>
        <a:prstGeom prst="rect">
          <a:avLst/>
        </a:prstGeom>
      </xdr:spPr>
    </xdr:pic>
    <xdr:clientData/>
  </xdr:twoCellAnchor>
  <xdr:twoCellAnchor>
    <xdr:from>
      <xdr:col>2</xdr:col>
      <xdr:colOff>152400</xdr:colOff>
      <xdr:row>1</xdr:row>
      <xdr:rowOff>38100</xdr:rowOff>
    </xdr:from>
    <xdr:to>
      <xdr:col>2</xdr:col>
      <xdr:colOff>1085850</xdr:colOff>
      <xdr:row>1</xdr:row>
      <xdr:rowOff>485775</xdr:rowOff>
    </xdr:to>
    <xdr:pic>
      <xdr:nvPicPr>
        <xdr:cNvPr id="18436" name="Picture 4"/>
        <xdr:cNvPicPr>
          <a:picLocks noChangeAspect="1" noChangeArrowheads="1"/>
        </xdr:cNvPicPr>
      </xdr:nvPicPr>
      <xdr:blipFill>
        <a:blip xmlns:r="http://schemas.openxmlformats.org/officeDocument/2006/relationships" r:embed="rId3" cstate="print"/>
        <a:srcRect/>
        <a:stretch>
          <a:fillRect/>
        </a:stretch>
      </xdr:blipFill>
      <xdr:spPr bwMode="auto">
        <a:xfrm>
          <a:off x="762000" y="200025"/>
          <a:ext cx="933450" cy="44767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47625</xdr:colOff>
      <xdr:row>1</xdr:row>
      <xdr:rowOff>66675</xdr:rowOff>
    </xdr:from>
    <xdr:to>
      <xdr:col>7</xdr:col>
      <xdr:colOff>1066800</xdr:colOff>
      <xdr:row>1</xdr:row>
      <xdr:rowOff>504072</xdr:rowOff>
    </xdr:to>
    <xdr:pic>
      <xdr:nvPicPr>
        <xdr:cNvPr id="4"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9800" y="228600"/>
          <a:ext cx="1019175" cy="437397"/>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266700</xdr:colOff>
          <xdr:row>1</xdr:row>
          <xdr:rowOff>57150</xdr:rowOff>
        </xdr:from>
        <xdr:to>
          <xdr:col>2</xdr:col>
          <xdr:colOff>257175</xdr:colOff>
          <xdr:row>1</xdr:row>
          <xdr:rowOff>457200</xdr:rowOff>
        </xdr:to>
        <xdr:sp macro="" textlink="">
          <xdr:nvSpPr>
            <xdr:cNvPr id="15363" name="Object 3" hidden="1">
              <a:extLst>
                <a:ext uri="{63B3BB69-23CF-44E3-9099-C40C66FF867C}">
                  <a14:compatExt spid="_x0000_s153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14</xdr:col>
      <xdr:colOff>76200</xdr:colOff>
      <xdr:row>1</xdr:row>
      <xdr:rowOff>28575</xdr:rowOff>
    </xdr:from>
    <xdr:to>
      <xdr:col>15</xdr:col>
      <xdr:colOff>631452</xdr:colOff>
      <xdr:row>1</xdr:row>
      <xdr:rowOff>449620</xdr:rowOff>
    </xdr:to>
    <xdr:pic>
      <xdr:nvPicPr>
        <xdr:cNvPr id="4"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316075" y="190500"/>
          <a:ext cx="981075" cy="42104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285750</xdr:colOff>
          <xdr:row>1</xdr:row>
          <xdr:rowOff>38100</xdr:rowOff>
        </xdr:from>
        <xdr:to>
          <xdr:col>2</xdr:col>
          <xdr:colOff>276225</xdr:colOff>
          <xdr:row>1</xdr:row>
          <xdr:rowOff>438150</xdr:rowOff>
        </xdr:to>
        <xdr:sp macro="" textlink="">
          <xdr:nvSpPr>
            <xdr:cNvPr id="12294" name="Object 6" hidden="1">
              <a:extLst>
                <a:ext uri="{63B3BB69-23CF-44E3-9099-C40C66FF867C}">
                  <a14:compatExt spid="_x0000_s122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7</xdr:col>
      <xdr:colOff>28575</xdr:colOff>
      <xdr:row>1</xdr:row>
      <xdr:rowOff>66675</xdr:rowOff>
    </xdr:from>
    <xdr:to>
      <xdr:col>7</xdr:col>
      <xdr:colOff>942975</xdr:colOff>
      <xdr:row>1</xdr:row>
      <xdr:rowOff>459106</xdr:rowOff>
    </xdr:to>
    <xdr:pic>
      <xdr:nvPicPr>
        <xdr:cNvPr id="4"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96250" y="228600"/>
          <a:ext cx="914400" cy="3924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190500</xdr:colOff>
          <xdr:row>1</xdr:row>
          <xdr:rowOff>9525</xdr:rowOff>
        </xdr:from>
        <xdr:to>
          <xdr:col>1</xdr:col>
          <xdr:colOff>1085850</xdr:colOff>
          <xdr:row>1</xdr:row>
          <xdr:rowOff>495300</xdr:rowOff>
        </xdr:to>
        <xdr:sp macro="" textlink="">
          <xdr:nvSpPr>
            <xdr:cNvPr id="13315" name="Object 3" hidden="1">
              <a:extLst>
                <a:ext uri="{63B3BB69-23CF-44E3-9099-C40C66FF867C}">
                  <a14:compatExt spid="_x0000_s1331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3</xdr:col>
      <xdr:colOff>38100</xdr:colOff>
      <xdr:row>1</xdr:row>
      <xdr:rowOff>73024</xdr:rowOff>
    </xdr:from>
    <xdr:to>
      <xdr:col>3</xdr:col>
      <xdr:colOff>1133014</xdr:colOff>
      <xdr:row>1</xdr:row>
      <xdr:rowOff>542925</xdr:rowOff>
    </xdr:to>
    <xdr:pic>
      <xdr:nvPicPr>
        <xdr:cNvPr id="3" name="Picture 1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72000" y="234949"/>
          <a:ext cx="1094914" cy="46990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257175</xdr:colOff>
          <xdr:row>1</xdr:row>
          <xdr:rowOff>123825</xdr:rowOff>
        </xdr:from>
        <xdr:to>
          <xdr:col>1</xdr:col>
          <xdr:colOff>1009650</xdr:colOff>
          <xdr:row>1</xdr:row>
          <xdr:rowOff>523875</xdr:rowOff>
        </xdr:to>
        <xdr:sp macro="" textlink="">
          <xdr:nvSpPr>
            <xdr:cNvPr id="14341" name="Object 5" hidden="1">
              <a:extLst>
                <a:ext uri="{63B3BB69-23CF-44E3-9099-C40C66FF867C}">
                  <a14:compatExt spid="_x0000_s143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xdr:row>
          <xdr:rowOff>9525</xdr:rowOff>
        </xdr:from>
        <xdr:to>
          <xdr:col>6</xdr:col>
          <xdr:colOff>9525</xdr:colOff>
          <xdr:row>5</xdr:row>
          <xdr:rowOff>0</xdr:rowOff>
        </xdr:to>
        <xdr:sp macro="" textlink="">
          <xdr:nvSpPr>
            <xdr:cNvPr id="38913" name="Group Box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4</xdr:row>
          <xdr:rowOff>209550</xdr:rowOff>
        </xdr:from>
        <xdr:to>
          <xdr:col>3</xdr:col>
          <xdr:colOff>981075</xdr:colOff>
          <xdr:row>4</xdr:row>
          <xdr:rowOff>428625</xdr:rowOff>
        </xdr:to>
        <xdr:sp macro="" textlink="">
          <xdr:nvSpPr>
            <xdr:cNvPr id="38914" name="Option Button 2" hidden="1">
              <a:extLst>
                <a:ext uri="{63B3BB69-23CF-44E3-9099-C40C66FF867C}">
                  <a14:compatExt spid="_x0000_s3891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4</xdr:row>
          <xdr:rowOff>209550</xdr:rowOff>
        </xdr:from>
        <xdr:to>
          <xdr:col>4</xdr:col>
          <xdr:colOff>428625</xdr:colOff>
          <xdr:row>4</xdr:row>
          <xdr:rowOff>428625</xdr:rowOff>
        </xdr:to>
        <xdr:sp macro="" textlink="">
          <xdr:nvSpPr>
            <xdr:cNvPr id="38915" name="Option Button 3" hidden="1">
              <a:extLst>
                <a:ext uri="{63B3BB69-23CF-44E3-9099-C40C66FF867C}">
                  <a14:compatExt spid="_x0000_s389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9525</xdr:rowOff>
        </xdr:from>
        <xdr:to>
          <xdr:col>6</xdr:col>
          <xdr:colOff>9525</xdr:colOff>
          <xdr:row>6</xdr:row>
          <xdr:rowOff>9525</xdr:rowOff>
        </xdr:to>
        <xdr:sp macro="" textlink="">
          <xdr:nvSpPr>
            <xdr:cNvPr id="38916" name="Group Box 4" hidden="1">
              <a:extLst>
                <a:ext uri="{63B3BB69-23CF-44E3-9099-C40C66FF867C}">
                  <a14:compatExt spid="_x0000_s3891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209550</xdr:rowOff>
        </xdr:from>
        <xdr:to>
          <xdr:col>3</xdr:col>
          <xdr:colOff>981075</xdr:colOff>
          <xdr:row>5</xdr:row>
          <xdr:rowOff>428625</xdr:rowOff>
        </xdr:to>
        <xdr:sp macro="" textlink="">
          <xdr:nvSpPr>
            <xdr:cNvPr id="38917" name="Option Button 5" hidden="1">
              <a:extLst>
                <a:ext uri="{63B3BB69-23CF-44E3-9099-C40C66FF867C}">
                  <a14:compatExt spid="_x0000_s389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5</xdr:row>
          <xdr:rowOff>209550</xdr:rowOff>
        </xdr:from>
        <xdr:to>
          <xdr:col>4</xdr:col>
          <xdr:colOff>428625</xdr:colOff>
          <xdr:row>5</xdr:row>
          <xdr:rowOff>428625</xdr:rowOff>
        </xdr:to>
        <xdr:sp macro="" textlink="">
          <xdr:nvSpPr>
            <xdr:cNvPr id="38918" name="Option Button 6" hidden="1">
              <a:extLst>
                <a:ext uri="{63B3BB69-23CF-44E3-9099-C40C66FF867C}">
                  <a14:compatExt spid="_x0000_s389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9525</xdr:rowOff>
        </xdr:from>
        <xdr:to>
          <xdr:col>6</xdr:col>
          <xdr:colOff>9525</xdr:colOff>
          <xdr:row>6</xdr:row>
          <xdr:rowOff>571500</xdr:rowOff>
        </xdr:to>
        <xdr:sp macro="" textlink="">
          <xdr:nvSpPr>
            <xdr:cNvPr id="38919" name="Group Box 7" hidden="1">
              <a:extLst>
                <a:ext uri="{63B3BB69-23CF-44E3-9099-C40C66FF867C}">
                  <a14:compatExt spid="_x0000_s3891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6</xdr:row>
          <xdr:rowOff>209550</xdr:rowOff>
        </xdr:from>
        <xdr:to>
          <xdr:col>3</xdr:col>
          <xdr:colOff>981075</xdr:colOff>
          <xdr:row>6</xdr:row>
          <xdr:rowOff>428625</xdr:rowOff>
        </xdr:to>
        <xdr:sp macro="" textlink="">
          <xdr:nvSpPr>
            <xdr:cNvPr id="38920" name="Option Button 8" hidden="1">
              <a:extLst>
                <a:ext uri="{63B3BB69-23CF-44E3-9099-C40C66FF867C}">
                  <a14:compatExt spid="_x0000_s3892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6</xdr:row>
          <xdr:rowOff>209550</xdr:rowOff>
        </xdr:from>
        <xdr:to>
          <xdr:col>4</xdr:col>
          <xdr:colOff>428625</xdr:colOff>
          <xdr:row>6</xdr:row>
          <xdr:rowOff>428625</xdr:rowOff>
        </xdr:to>
        <xdr:sp macro="" textlink="">
          <xdr:nvSpPr>
            <xdr:cNvPr id="38921" name="Option Button 9" hidden="1">
              <a:extLst>
                <a:ext uri="{63B3BB69-23CF-44E3-9099-C40C66FF867C}">
                  <a14:compatExt spid="_x0000_s389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9525</xdr:rowOff>
        </xdr:from>
        <xdr:to>
          <xdr:col>6</xdr:col>
          <xdr:colOff>9525</xdr:colOff>
          <xdr:row>7</xdr:row>
          <xdr:rowOff>571500</xdr:rowOff>
        </xdr:to>
        <xdr:sp macro="" textlink="">
          <xdr:nvSpPr>
            <xdr:cNvPr id="38922" name="Group Box 10" hidden="1">
              <a:extLst>
                <a:ext uri="{63B3BB69-23CF-44E3-9099-C40C66FF867C}">
                  <a14:compatExt spid="_x0000_s3892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7</xdr:row>
          <xdr:rowOff>209550</xdr:rowOff>
        </xdr:from>
        <xdr:to>
          <xdr:col>3</xdr:col>
          <xdr:colOff>981075</xdr:colOff>
          <xdr:row>7</xdr:row>
          <xdr:rowOff>428625</xdr:rowOff>
        </xdr:to>
        <xdr:sp macro="" textlink="">
          <xdr:nvSpPr>
            <xdr:cNvPr id="38923" name="Option Button 11" hidden="1">
              <a:extLst>
                <a:ext uri="{63B3BB69-23CF-44E3-9099-C40C66FF867C}">
                  <a14:compatExt spid="_x0000_s389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7</xdr:row>
          <xdr:rowOff>209550</xdr:rowOff>
        </xdr:from>
        <xdr:to>
          <xdr:col>4</xdr:col>
          <xdr:colOff>428625</xdr:colOff>
          <xdr:row>7</xdr:row>
          <xdr:rowOff>428625</xdr:rowOff>
        </xdr:to>
        <xdr:sp macro="" textlink="">
          <xdr:nvSpPr>
            <xdr:cNvPr id="38924" name="Option Button 12" hidden="1">
              <a:extLst>
                <a:ext uri="{63B3BB69-23CF-44E3-9099-C40C66FF867C}">
                  <a14:compatExt spid="_x0000_s389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1657350</xdr:colOff>
          <xdr:row>7</xdr:row>
          <xdr:rowOff>209550</xdr:rowOff>
        </xdr:from>
        <xdr:to>
          <xdr:col>4</xdr:col>
          <xdr:colOff>800100</xdr:colOff>
          <xdr:row>7</xdr:row>
          <xdr:rowOff>428625</xdr:rowOff>
        </xdr:to>
        <xdr:sp macro="" textlink="">
          <xdr:nvSpPr>
            <xdr:cNvPr id="38925" name="Option Button 13" hidden="1">
              <a:extLst>
                <a:ext uri="{63B3BB69-23CF-44E3-9099-C40C66FF867C}">
                  <a14:compatExt spid="_x0000_s389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 APLICA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9525</xdr:rowOff>
        </xdr:from>
        <xdr:to>
          <xdr:col>6</xdr:col>
          <xdr:colOff>9525</xdr:colOff>
          <xdr:row>8</xdr:row>
          <xdr:rowOff>571500</xdr:rowOff>
        </xdr:to>
        <xdr:sp macro="" textlink="">
          <xdr:nvSpPr>
            <xdr:cNvPr id="38926" name="Group Box 14" hidden="1">
              <a:extLst>
                <a:ext uri="{63B3BB69-23CF-44E3-9099-C40C66FF867C}">
                  <a14:compatExt spid="_x0000_s3892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8</xdr:row>
          <xdr:rowOff>209550</xdr:rowOff>
        </xdr:from>
        <xdr:to>
          <xdr:col>3</xdr:col>
          <xdr:colOff>981075</xdr:colOff>
          <xdr:row>8</xdr:row>
          <xdr:rowOff>428625</xdr:rowOff>
        </xdr:to>
        <xdr:sp macro="" textlink="">
          <xdr:nvSpPr>
            <xdr:cNvPr id="38927" name="Option Button 15" hidden="1">
              <a:extLst>
                <a:ext uri="{63B3BB69-23CF-44E3-9099-C40C66FF867C}">
                  <a14:compatExt spid="_x0000_s389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8</xdr:row>
          <xdr:rowOff>209550</xdr:rowOff>
        </xdr:from>
        <xdr:to>
          <xdr:col>4</xdr:col>
          <xdr:colOff>428625</xdr:colOff>
          <xdr:row>8</xdr:row>
          <xdr:rowOff>428625</xdr:rowOff>
        </xdr:to>
        <xdr:sp macro="" textlink="">
          <xdr:nvSpPr>
            <xdr:cNvPr id="38928" name="Option Button 16" hidden="1">
              <a:extLst>
                <a:ext uri="{63B3BB69-23CF-44E3-9099-C40C66FF867C}">
                  <a14:compatExt spid="_x0000_s389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6</xdr:col>
          <xdr:colOff>9525</xdr:colOff>
          <xdr:row>10</xdr:row>
          <xdr:rowOff>0</xdr:rowOff>
        </xdr:to>
        <xdr:sp macro="" textlink="">
          <xdr:nvSpPr>
            <xdr:cNvPr id="38929" name="Group Box 17" hidden="1">
              <a:extLst>
                <a:ext uri="{63B3BB69-23CF-44E3-9099-C40C66FF867C}">
                  <a14:compatExt spid="_x0000_s3892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9525</xdr:rowOff>
        </xdr:from>
        <xdr:to>
          <xdr:col>6</xdr:col>
          <xdr:colOff>9525</xdr:colOff>
          <xdr:row>10</xdr:row>
          <xdr:rowOff>0</xdr:rowOff>
        </xdr:to>
        <xdr:sp macro="" textlink="">
          <xdr:nvSpPr>
            <xdr:cNvPr id="38930" name="Group Box 18" hidden="1">
              <a:extLst>
                <a:ext uri="{63B3BB69-23CF-44E3-9099-C40C66FF867C}">
                  <a14:compatExt spid="_x0000_s3893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9</xdr:row>
          <xdr:rowOff>209550</xdr:rowOff>
        </xdr:from>
        <xdr:to>
          <xdr:col>3</xdr:col>
          <xdr:colOff>981075</xdr:colOff>
          <xdr:row>9</xdr:row>
          <xdr:rowOff>409575</xdr:rowOff>
        </xdr:to>
        <xdr:sp macro="" textlink="">
          <xdr:nvSpPr>
            <xdr:cNvPr id="38931" name="Option Button 19" hidden="1">
              <a:extLst>
                <a:ext uri="{63B3BB69-23CF-44E3-9099-C40C66FF867C}">
                  <a14:compatExt spid="_x0000_s38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SI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923925</xdr:colOff>
          <xdr:row>9</xdr:row>
          <xdr:rowOff>209550</xdr:rowOff>
        </xdr:from>
        <xdr:to>
          <xdr:col>4</xdr:col>
          <xdr:colOff>428625</xdr:colOff>
          <xdr:row>9</xdr:row>
          <xdr:rowOff>409575</xdr:rowOff>
        </xdr:to>
        <xdr:sp macro="" textlink="">
          <xdr:nvSpPr>
            <xdr:cNvPr id="38932" name="Option Button 20" hidden="1">
              <a:extLst>
                <a:ext uri="{63B3BB69-23CF-44E3-9099-C40C66FF867C}">
                  <a14:compatExt spid="_x0000_s38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Tahoma"/>
                  <a:ea typeface="Tahoma"/>
                  <a:cs typeface="Tahoma"/>
                </a:rPr>
                <a:t>NO</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27.1.70\Repositorio\DOCUME~1\ncampose\CONFIG~1\Temp\formato-proceso.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72.27.1.70\Repositorio\Documents%20and%20Settings\JJ\Local%20Settings\Temporary%20Internet%20Files\OLK6\7%201%202R21%20Modelo%20de%20Estimaci&#243;n%20Desarrollo%20a%20Medida%20CASCAD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PROCED"/>
      <sheetName val="Sheet1"/>
    </sheetNames>
    <sheetDataSet>
      <sheetData sheetId="0" refreshError="1"/>
      <sheetData sheetId="1">
        <row r="1">
          <cell r="A1" t="str">
            <v>Si</v>
          </cell>
        </row>
        <row r="2">
          <cell r="A2" t="str">
            <v>No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
      <sheetName val="INFORMACION DE LA PROPUESTA"/>
      <sheetName val="CalculoPF"/>
      <sheetName val="Diferencia Inicial y Juicio Exp"/>
      <sheetName val="Resumen Inicial"/>
      <sheetName val="Resumen Juicio Experto"/>
      <sheetName val="Parametro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2.bin"/></Relationships>
</file>

<file path=xl/worksheets/_rels/sheet3.xml.rels><?xml version="1.0" encoding="UTF-8" standalone="yes"?>
<Relationships xmlns="http://schemas.openxmlformats.org/package/2006/relationships"><Relationship Id="rId3" Type="http://schemas.openxmlformats.org/officeDocument/2006/relationships/oleObject" Target="../embeddings/oleObject3.bin"/><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oleObject" Target="../embeddings/oleObject5.bin"/><Relationship Id="rId2" Type="http://schemas.openxmlformats.org/officeDocument/2006/relationships/vmlDrawing" Target="../drawings/vmlDrawing5.vml"/><Relationship Id="rId1" Type="http://schemas.openxmlformats.org/officeDocument/2006/relationships/drawing" Target="../drawings/drawing7.xml"/><Relationship Id="rId4" Type="http://schemas.openxmlformats.org/officeDocument/2006/relationships/image" Target="../media/image1.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oleObject" Target="../embeddings/oleObject6.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7.bin"/><Relationship Id="rId2" Type="http://schemas.openxmlformats.org/officeDocument/2006/relationships/vmlDrawing" Target="../drawings/vmlDrawing7.vml"/><Relationship Id="rId1" Type="http://schemas.openxmlformats.org/officeDocument/2006/relationships/drawing" Target="../drawings/drawing9.xml"/><Relationship Id="rId4" Type="http://schemas.openxmlformats.org/officeDocument/2006/relationships/image" Target="../media/image1.emf"/></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8.bin"/><Relationship Id="rId2" Type="http://schemas.openxmlformats.org/officeDocument/2006/relationships/vmlDrawing" Target="../drawings/vmlDrawing8.vml"/><Relationship Id="rId1" Type="http://schemas.openxmlformats.org/officeDocument/2006/relationships/drawing" Target="../drawings/drawing10.xml"/><Relationship Id="rId4" Type="http://schemas.openxmlformats.org/officeDocument/2006/relationships/image" Target="../media/image1.emf"/></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ctrlProp" Target="../ctrlProps/ctrlProp2.x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vmlDrawing" Target="../drawings/vmlDrawing9.v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drawing" Target="../drawings/drawing11.xml"/><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B1:H18"/>
  <sheetViews>
    <sheetView showGridLines="0" topLeftCell="A6" workbookViewId="0">
      <selection activeCell="H5" sqref="H5"/>
    </sheetView>
  </sheetViews>
  <sheetFormatPr baseColWidth="10" defaultColWidth="9.140625" defaultRowHeight="12.75"/>
  <cols>
    <col min="1" max="1" width="5.7109375" style="182" customWidth="1"/>
    <col min="2" max="2" width="12.7109375" style="182" customWidth="1"/>
    <col min="3" max="3" width="11.42578125" style="182" customWidth="1"/>
    <col min="4" max="4" width="12.42578125" style="182" customWidth="1"/>
    <col min="5" max="5" width="19" style="182" customWidth="1"/>
    <col min="6" max="6" width="27" style="182" customWidth="1"/>
    <col min="7" max="7" width="13" style="182" customWidth="1"/>
    <col min="8" max="8" width="23.5703125" style="182" customWidth="1"/>
    <col min="9" max="256" width="9.140625" style="182"/>
    <col min="257" max="257" width="5.7109375" style="182" customWidth="1"/>
    <col min="258" max="258" width="12.7109375" style="182" customWidth="1"/>
    <col min="259" max="259" width="11.42578125" style="182" customWidth="1"/>
    <col min="260" max="260" width="12.42578125" style="182" customWidth="1"/>
    <col min="261" max="261" width="19" style="182" customWidth="1"/>
    <col min="262" max="262" width="27" style="182" customWidth="1"/>
    <col min="263" max="263" width="13" style="182" customWidth="1"/>
    <col min="264" max="264" width="19.7109375" style="182" customWidth="1"/>
    <col min="265" max="512" width="9.140625" style="182"/>
    <col min="513" max="513" width="5.7109375" style="182" customWidth="1"/>
    <col min="514" max="514" width="12.7109375" style="182" customWidth="1"/>
    <col min="515" max="515" width="11.42578125" style="182" customWidth="1"/>
    <col min="516" max="516" width="12.42578125" style="182" customWidth="1"/>
    <col min="517" max="517" width="19" style="182" customWidth="1"/>
    <col min="518" max="518" width="27" style="182" customWidth="1"/>
    <col min="519" max="519" width="13" style="182" customWidth="1"/>
    <col min="520" max="520" width="19.7109375" style="182" customWidth="1"/>
    <col min="521" max="768" width="9.140625" style="182"/>
    <col min="769" max="769" width="5.7109375" style="182" customWidth="1"/>
    <col min="770" max="770" width="12.7109375" style="182" customWidth="1"/>
    <col min="771" max="771" width="11.42578125" style="182" customWidth="1"/>
    <col min="772" max="772" width="12.42578125" style="182" customWidth="1"/>
    <col min="773" max="773" width="19" style="182" customWidth="1"/>
    <col min="774" max="774" width="27" style="182" customWidth="1"/>
    <col min="775" max="775" width="13" style="182" customWidth="1"/>
    <col min="776" max="776" width="19.7109375" style="182" customWidth="1"/>
    <col min="777" max="1024" width="9.140625" style="182"/>
    <col min="1025" max="1025" width="5.7109375" style="182" customWidth="1"/>
    <col min="1026" max="1026" width="12.7109375" style="182" customWidth="1"/>
    <col min="1027" max="1027" width="11.42578125" style="182" customWidth="1"/>
    <col min="1028" max="1028" width="12.42578125" style="182" customWidth="1"/>
    <col min="1029" max="1029" width="19" style="182" customWidth="1"/>
    <col min="1030" max="1030" width="27" style="182" customWidth="1"/>
    <col min="1031" max="1031" width="13" style="182" customWidth="1"/>
    <col min="1032" max="1032" width="19.7109375" style="182" customWidth="1"/>
    <col min="1033" max="1280" width="9.140625" style="182"/>
    <col min="1281" max="1281" width="5.7109375" style="182" customWidth="1"/>
    <col min="1282" max="1282" width="12.7109375" style="182" customWidth="1"/>
    <col min="1283" max="1283" width="11.42578125" style="182" customWidth="1"/>
    <col min="1284" max="1284" width="12.42578125" style="182" customWidth="1"/>
    <col min="1285" max="1285" width="19" style="182" customWidth="1"/>
    <col min="1286" max="1286" width="27" style="182" customWidth="1"/>
    <col min="1287" max="1287" width="13" style="182" customWidth="1"/>
    <col min="1288" max="1288" width="19.7109375" style="182" customWidth="1"/>
    <col min="1289" max="1536" width="9.140625" style="182"/>
    <col min="1537" max="1537" width="5.7109375" style="182" customWidth="1"/>
    <col min="1538" max="1538" width="12.7109375" style="182" customWidth="1"/>
    <col min="1539" max="1539" width="11.42578125" style="182" customWidth="1"/>
    <col min="1540" max="1540" width="12.42578125" style="182" customWidth="1"/>
    <col min="1541" max="1541" width="19" style="182" customWidth="1"/>
    <col min="1542" max="1542" width="27" style="182" customWidth="1"/>
    <col min="1543" max="1543" width="13" style="182" customWidth="1"/>
    <col min="1544" max="1544" width="19.7109375" style="182" customWidth="1"/>
    <col min="1545" max="1792" width="9.140625" style="182"/>
    <col min="1793" max="1793" width="5.7109375" style="182" customWidth="1"/>
    <col min="1794" max="1794" width="12.7109375" style="182" customWidth="1"/>
    <col min="1795" max="1795" width="11.42578125" style="182" customWidth="1"/>
    <col min="1796" max="1796" width="12.42578125" style="182" customWidth="1"/>
    <col min="1797" max="1797" width="19" style="182" customWidth="1"/>
    <col min="1798" max="1798" width="27" style="182" customWidth="1"/>
    <col min="1799" max="1799" width="13" style="182" customWidth="1"/>
    <col min="1800" max="1800" width="19.7109375" style="182" customWidth="1"/>
    <col min="1801" max="2048" width="9.140625" style="182"/>
    <col min="2049" max="2049" width="5.7109375" style="182" customWidth="1"/>
    <col min="2050" max="2050" width="12.7109375" style="182" customWidth="1"/>
    <col min="2051" max="2051" width="11.42578125" style="182" customWidth="1"/>
    <col min="2052" max="2052" width="12.42578125" style="182" customWidth="1"/>
    <col min="2053" max="2053" width="19" style="182" customWidth="1"/>
    <col min="2054" max="2054" width="27" style="182" customWidth="1"/>
    <col min="2055" max="2055" width="13" style="182" customWidth="1"/>
    <col min="2056" max="2056" width="19.7109375" style="182" customWidth="1"/>
    <col min="2057" max="2304" width="9.140625" style="182"/>
    <col min="2305" max="2305" width="5.7109375" style="182" customWidth="1"/>
    <col min="2306" max="2306" width="12.7109375" style="182" customWidth="1"/>
    <col min="2307" max="2307" width="11.42578125" style="182" customWidth="1"/>
    <col min="2308" max="2308" width="12.42578125" style="182" customWidth="1"/>
    <col min="2309" max="2309" width="19" style="182" customWidth="1"/>
    <col min="2310" max="2310" width="27" style="182" customWidth="1"/>
    <col min="2311" max="2311" width="13" style="182" customWidth="1"/>
    <col min="2312" max="2312" width="19.7109375" style="182" customWidth="1"/>
    <col min="2313" max="2560" width="9.140625" style="182"/>
    <col min="2561" max="2561" width="5.7109375" style="182" customWidth="1"/>
    <col min="2562" max="2562" width="12.7109375" style="182" customWidth="1"/>
    <col min="2563" max="2563" width="11.42578125" style="182" customWidth="1"/>
    <col min="2564" max="2564" width="12.42578125" style="182" customWidth="1"/>
    <col min="2565" max="2565" width="19" style="182" customWidth="1"/>
    <col min="2566" max="2566" width="27" style="182" customWidth="1"/>
    <col min="2567" max="2567" width="13" style="182" customWidth="1"/>
    <col min="2568" max="2568" width="19.7109375" style="182" customWidth="1"/>
    <col min="2569" max="2816" width="9.140625" style="182"/>
    <col min="2817" max="2817" width="5.7109375" style="182" customWidth="1"/>
    <col min="2818" max="2818" width="12.7109375" style="182" customWidth="1"/>
    <col min="2819" max="2819" width="11.42578125" style="182" customWidth="1"/>
    <col min="2820" max="2820" width="12.42578125" style="182" customWidth="1"/>
    <col min="2821" max="2821" width="19" style="182" customWidth="1"/>
    <col min="2822" max="2822" width="27" style="182" customWidth="1"/>
    <col min="2823" max="2823" width="13" style="182" customWidth="1"/>
    <col min="2824" max="2824" width="19.7109375" style="182" customWidth="1"/>
    <col min="2825" max="3072" width="9.140625" style="182"/>
    <col min="3073" max="3073" width="5.7109375" style="182" customWidth="1"/>
    <col min="3074" max="3074" width="12.7109375" style="182" customWidth="1"/>
    <col min="3075" max="3075" width="11.42578125" style="182" customWidth="1"/>
    <col min="3076" max="3076" width="12.42578125" style="182" customWidth="1"/>
    <col min="3077" max="3077" width="19" style="182" customWidth="1"/>
    <col min="3078" max="3078" width="27" style="182" customWidth="1"/>
    <col min="3079" max="3079" width="13" style="182" customWidth="1"/>
    <col min="3080" max="3080" width="19.7109375" style="182" customWidth="1"/>
    <col min="3081" max="3328" width="9.140625" style="182"/>
    <col min="3329" max="3329" width="5.7109375" style="182" customWidth="1"/>
    <col min="3330" max="3330" width="12.7109375" style="182" customWidth="1"/>
    <col min="3331" max="3331" width="11.42578125" style="182" customWidth="1"/>
    <col min="3332" max="3332" width="12.42578125" style="182" customWidth="1"/>
    <col min="3333" max="3333" width="19" style="182" customWidth="1"/>
    <col min="3334" max="3334" width="27" style="182" customWidth="1"/>
    <col min="3335" max="3335" width="13" style="182" customWidth="1"/>
    <col min="3336" max="3336" width="19.7109375" style="182" customWidth="1"/>
    <col min="3337" max="3584" width="9.140625" style="182"/>
    <col min="3585" max="3585" width="5.7109375" style="182" customWidth="1"/>
    <col min="3586" max="3586" width="12.7109375" style="182" customWidth="1"/>
    <col min="3587" max="3587" width="11.42578125" style="182" customWidth="1"/>
    <col min="3588" max="3588" width="12.42578125" style="182" customWidth="1"/>
    <col min="3589" max="3589" width="19" style="182" customWidth="1"/>
    <col min="3590" max="3590" width="27" style="182" customWidth="1"/>
    <col min="3591" max="3591" width="13" style="182" customWidth="1"/>
    <col min="3592" max="3592" width="19.7109375" style="182" customWidth="1"/>
    <col min="3593" max="3840" width="9.140625" style="182"/>
    <col min="3841" max="3841" width="5.7109375" style="182" customWidth="1"/>
    <col min="3842" max="3842" width="12.7109375" style="182" customWidth="1"/>
    <col min="3843" max="3843" width="11.42578125" style="182" customWidth="1"/>
    <col min="3844" max="3844" width="12.42578125" style="182" customWidth="1"/>
    <col min="3845" max="3845" width="19" style="182" customWidth="1"/>
    <col min="3846" max="3846" width="27" style="182" customWidth="1"/>
    <col min="3847" max="3847" width="13" style="182" customWidth="1"/>
    <col min="3848" max="3848" width="19.7109375" style="182" customWidth="1"/>
    <col min="3849" max="4096" width="9.140625" style="182"/>
    <col min="4097" max="4097" width="5.7109375" style="182" customWidth="1"/>
    <col min="4098" max="4098" width="12.7109375" style="182" customWidth="1"/>
    <col min="4099" max="4099" width="11.42578125" style="182" customWidth="1"/>
    <col min="4100" max="4100" width="12.42578125" style="182" customWidth="1"/>
    <col min="4101" max="4101" width="19" style="182" customWidth="1"/>
    <col min="4102" max="4102" width="27" style="182" customWidth="1"/>
    <col min="4103" max="4103" width="13" style="182" customWidth="1"/>
    <col min="4104" max="4104" width="19.7109375" style="182" customWidth="1"/>
    <col min="4105" max="4352" width="9.140625" style="182"/>
    <col min="4353" max="4353" width="5.7109375" style="182" customWidth="1"/>
    <col min="4354" max="4354" width="12.7109375" style="182" customWidth="1"/>
    <col min="4355" max="4355" width="11.42578125" style="182" customWidth="1"/>
    <col min="4356" max="4356" width="12.42578125" style="182" customWidth="1"/>
    <col min="4357" max="4357" width="19" style="182" customWidth="1"/>
    <col min="4358" max="4358" width="27" style="182" customWidth="1"/>
    <col min="4359" max="4359" width="13" style="182" customWidth="1"/>
    <col min="4360" max="4360" width="19.7109375" style="182" customWidth="1"/>
    <col min="4361" max="4608" width="9.140625" style="182"/>
    <col min="4609" max="4609" width="5.7109375" style="182" customWidth="1"/>
    <col min="4610" max="4610" width="12.7109375" style="182" customWidth="1"/>
    <col min="4611" max="4611" width="11.42578125" style="182" customWidth="1"/>
    <col min="4612" max="4612" width="12.42578125" style="182" customWidth="1"/>
    <col min="4613" max="4613" width="19" style="182" customWidth="1"/>
    <col min="4614" max="4614" width="27" style="182" customWidth="1"/>
    <col min="4615" max="4615" width="13" style="182" customWidth="1"/>
    <col min="4616" max="4616" width="19.7109375" style="182" customWidth="1"/>
    <col min="4617" max="4864" width="9.140625" style="182"/>
    <col min="4865" max="4865" width="5.7109375" style="182" customWidth="1"/>
    <col min="4866" max="4866" width="12.7109375" style="182" customWidth="1"/>
    <col min="4867" max="4867" width="11.42578125" style="182" customWidth="1"/>
    <col min="4868" max="4868" width="12.42578125" style="182" customWidth="1"/>
    <col min="4869" max="4869" width="19" style="182" customWidth="1"/>
    <col min="4870" max="4870" width="27" style="182" customWidth="1"/>
    <col min="4871" max="4871" width="13" style="182" customWidth="1"/>
    <col min="4872" max="4872" width="19.7109375" style="182" customWidth="1"/>
    <col min="4873" max="5120" width="9.140625" style="182"/>
    <col min="5121" max="5121" width="5.7109375" style="182" customWidth="1"/>
    <col min="5122" max="5122" width="12.7109375" style="182" customWidth="1"/>
    <col min="5123" max="5123" width="11.42578125" style="182" customWidth="1"/>
    <col min="5124" max="5124" width="12.42578125" style="182" customWidth="1"/>
    <col min="5125" max="5125" width="19" style="182" customWidth="1"/>
    <col min="5126" max="5126" width="27" style="182" customWidth="1"/>
    <col min="5127" max="5127" width="13" style="182" customWidth="1"/>
    <col min="5128" max="5128" width="19.7109375" style="182" customWidth="1"/>
    <col min="5129" max="5376" width="9.140625" style="182"/>
    <col min="5377" max="5377" width="5.7109375" style="182" customWidth="1"/>
    <col min="5378" max="5378" width="12.7109375" style="182" customWidth="1"/>
    <col min="5379" max="5379" width="11.42578125" style="182" customWidth="1"/>
    <col min="5380" max="5380" width="12.42578125" style="182" customWidth="1"/>
    <col min="5381" max="5381" width="19" style="182" customWidth="1"/>
    <col min="5382" max="5382" width="27" style="182" customWidth="1"/>
    <col min="5383" max="5383" width="13" style="182" customWidth="1"/>
    <col min="5384" max="5384" width="19.7109375" style="182" customWidth="1"/>
    <col min="5385" max="5632" width="9.140625" style="182"/>
    <col min="5633" max="5633" width="5.7109375" style="182" customWidth="1"/>
    <col min="5634" max="5634" width="12.7109375" style="182" customWidth="1"/>
    <col min="5635" max="5635" width="11.42578125" style="182" customWidth="1"/>
    <col min="5636" max="5636" width="12.42578125" style="182" customWidth="1"/>
    <col min="5637" max="5637" width="19" style="182" customWidth="1"/>
    <col min="5638" max="5638" width="27" style="182" customWidth="1"/>
    <col min="5639" max="5639" width="13" style="182" customWidth="1"/>
    <col min="5640" max="5640" width="19.7109375" style="182" customWidth="1"/>
    <col min="5641" max="5888" width="9.140625" style="182"/>
    <col min="5889" max="5889" width="5.7109375" style="182" customWidth="1"/>
    <col min="5890" max="5890" width="12.7109375" style="182" customWidth="1"/>
    <col min="5891" max="5891" width="11.42578125" style="182" customWidth="1"/>
    <col min="5892" max="5892" width="12.42578125" style="182" customWidth="1"/>
    <col min="5893" max="5893" width="19" style="182" customWidth="1"/>
    <col min="5894" max="5894" width="27" style="182" customWidth="1"/>
    <col min="5895" max="5895" width="13" style="182" customWidth="1"/>
    <col min="5896" max="5896" width="19.7109375" style="182" customWidth="1"/>
    <col min="5897" max="6144" width="9.140625" style="182"/>
    <col min="6145" max="6145" width="5.7109375" style="182" customWidth="1"/>
    <col min="6146" max="6146" width="12.7109375" style="182" customWidth="1"/>
    <col min="6147" max="6147" width="11.42578125" style="182" customWidth="1"/>
    <col min="6148" max="6148" width="12.42578125" style="182" customWidth="1"/>
    <col min="6149" max="6149" width="19" style="182" customWidth="1"/>
    <col min="6150" max="6150" width="27" style="182" customWidth="1"/>
    <col min="6151" max="6151" width="13" style="182" customWidth="1"/>
    <col min="6152" max="6152" width="19.7109375" style="182" customWidth="1"/>
    <col min="6153" max="6400" width="9.140625" style="182"/>
    <col min="6401" max="6401" width="5.7109375" style="182" customWidth="1"/>
    <col min="6402" max="6402" width="12.7109375" style="182" customWidth="1"/>
    <col min="6403" max="6403" width="11.42578125" style="182" customWidth="1"/>
    <col min="6404" max="6404" width="12.42578125" style="182" customWidth="1"/>
    <col min="6405" max="6405" width="19" style="182" customWidth="1"/>
    <col min="6406" max="6406" width="27" style="182" customWidth="1"/>
    <col min="6407" max="6407" width="13" style="182" customWidth="1"/>
    <col min="6408" max="6408" width="19.7109375" style="182" customWidth="1"/>
    <col min="6409" max="6656" width="9.140625" style="182"/>
    <col min="6657" max="6657" width="5.7109375" style="182" customWidth="1"/>
    <col min="6658" max="6658" width="12.7109375" style="182" customWidth="1"/>
    <col min="6659" max="6659" width="11.42578125" style="182" customWidth="1"/>
    <col min="6660" max="6660" width="12.42578125" style="182" customWidth="1"/>
    <col min="6661" max="6661" width="19" style="182" customWidth="1"/>
    <col min="6662" max="6662" width="27" style="182" customWidth="1"/>
    <col min="6663" max="6663" width="13" style="182" customWidth="1"/>
    <col min="6664" max="6664" width="19.7109375" style="182" customWidth="1"/>
    <col min="6665" max="6912" width="9.140625" style="182"/>
    <col min="6913" max="6913" width="5.7109375" style="182" customWidth="1"/>
    <col min="6914" max="6914" width="12.7109375" style="182" customWidth="1"/>
    <col min="6915" max="6915" width="11.42578125" style="182" customWidth="1"/>
    <col min="6916" max="6916" width="12.42578125" style="182" customWidth="1"/>
    <col min="6917" max="6917" width="19" style="182" customWidth="1"/>
    <col min="6918" max="6918" width="27" style="182" customWidth="1"/>
    <col min="6919" max="6919" width="13" style="182" customWidth="1"/>
    <col min="6920" max="6920" width="19.7109375" style="182" customWidth="1"/>
    <col min="6921" max="7168" width="9.140625" style="182"/>
    <col min="7169" max="7169" width="5.7109375" style="182" customWidth="1"/>
    <col min="7170" max="7170" width="12.7109375" style="182" customWidth="1"/>
    <col min="7171" max="7171" width="11.42578125" style="182" customWidth="1"/>
    <col min="7172" max="7172" width="12.42578125" style="182" customWidth="1"/>
    <col min="7173" max="7173" width="19" style="182" customWidth="1"/>
    <col min="7174" max="7174" width="27" style="182" customWidth="1"/>
    <col min="7175" max="7175" width="13" style="182" customWidth="1"/>
    <col min="7176" max="7176" width="19.7109375" style="182" customWidth="1"/>
    <col min="7177" max="7424" width="9.140625" style="182"/>
    <col min="7425" max="7425" width="5.7109375" style="182" customWidth="1"/>
    <col min="7426" max="7426" width="12.7109375" style="182" customWidth="1"/>
    <col min="7427" max="7427" width="11.42578125" style="182" customWidth="1"/>
    <col min="7428" max="7428" width="12.42578125" style="182" customWidth="1"/>
    <col min="7429" max="7429" width="19" style="182" customWidth="1"/>
    <col min="7430" max="7430" width="27" style="182" customWidth="1"/>
    <col min="7431" max="7431" width="13" style="182" customWidth="1"/>
    <col min="7432" max="7432" width="19.7109375" style="182" customWidth="1"/>
    <col min="7433" max="7680" width="9.140625" style="182"/>
    <col min="7681" max="7681" width="5.7109375" style="182" customWidth="1"/>
    <col min="7682" max="7682" width="12.7109375" style="182" customWidth="1"/>
    <col min="7683" max="7683" width="11.42578125" style="182" customWidth="1"/>
    <col min="7684" max="7684" width="12.42578125" style="182" customWidth="1"/>
    <col min="7685" max="7685" width="19" style="182" customWidth="1"/>
    <col min="7686" max="7686" width="27" style="182" customWidth="1"/>
    <col min="7687" max="7687" width="13" style="182" customWidth="1"/>
    <col min="7688" max="7688" width="19.7109375" style="182" customWidth="1"/>
    <col min="7689" max="7936" width="9.140625" style="182"/>
    <col min="7937" max="7937" width="5.7109375" style="182" customWidth="1"/>
    <col min="7938" max="7938" width="12.7109375" style="182" customWidth="1"/>
    <col min="7939" max="7939" width="11.42578125" style="182" customWidth="1"/>
    <col min="7940" max="7940" width="12.42578125" style="182" customWidth="1"/>
    <col min="7941" max="7941" width="19" style="182" customWidth="1"/>
    <col min="7942" max="7942" width="27" style="182" customWidth="1"/>
    <col min="7943" max="7943" width="13" style="182" customWidth="1"/>
    <col min="7944" max="7944" width="19.7109375" style="182" customWidth="1"/>
    <col min="7945" max="8192" width="9.140625" style="182"/>
    <col min="8193" max="8193" width="5.7109375" style="182" customWidth="1"/>
    <col min="8194" max="8194" width="12.7109375" style="182" customWidth="1"/>
    <col min="8195" max="8195" width="11.42578125" style="182" customWidth="1"/>
    <col min="8196" max="8196" width="12.42578125" style="182" customWidth="1"/>
    <col min="8197" max="8197" width="19" style="182" customWidth="1"/>
    <col min="8198" max="8198" width="27" style="182" customWidth="1"/>
    <col min="8199" max="8199" width="13" style="182" customWidth="1"/>
    <col min="8200" max="8200" width="19.7109375" style="182" customWidth="1"/>
    <col min="8201" max="8448" width="9.140625" style="182"/>
    <col min="8449" max="8449" width="5.7109375" style="182" customWidth="1"/>
    <col min="8450" max="8450" width="12.7109375" style="182" customWidth="1"/>
    <col min="8451" max="8451" width="11.42578125" style="182" customWidth="1"/>
    <col min="8452" max="8452" width="12.42578125" style="182" customWidth="1"/>
    <col min="8453" max="8453" width="19" style="182" customWidth="1"/>
    <col min="8454" max="8454" width="27" style="182" customWidth="1"/>
    <col min="8455" max="8455" width="13" style="182" customWidth="1"/>
    <col min="8456" max="8456" width="19.7109375" style="182" customWidth="1"/>
    <col min="8457" max="8704" width="9.140625" style="182"/>
    <col min="8705" max="8705" width="5.7109375" style="182" customWidth="1"/>
    <col min="8706" max="8706" width="12.7109375" style="182" customWidth="1"/>
    <col min="8707" max="8707" width="11.42578125" style="182" customWidth="1"/>
    <col min="8708" max="8708" width="12.42578125" style="182" customWidth="1"/>
    <col min="8709" max="8709" width="19" style="182" customWidth="1"/>
    <col min="8710" max="8710" width="27" style="182" customWidth="1"/>
    <col min="8711" max="8711" width="13" style="182" customWidth="1"/>
    <col min="8712" max="8712" width="19.7109375" style="182" customWidth="1"/>
    <col min="8713" max="8960" width="9.140625" style="182"/>
    <col min="8961" max="8961" width="5.7109375" style="182" customWidth="1"/>
    <col min="8962" max="8962" width="12.7109375" style="182" customWidth="1"/>
    <col min="8963" max="8963" width="11.42578125" style="182" customWidth="1"/>
    <col min="8964" max="8964" width="12.42578125" style="182" customWidth="1"/>
    <col min="8965" max="8965" width="19" style="182" customWidth="1"/>
    <col min="8966" max="8966" width="27" style="182" customWidth="1"/>
    <col min="8967" max="8967" width="13" style="182" customWidth="1"/>
    <col min="8968" max="8968" width="19.7109375" style="182" customWidth="1"/>
    <col min="8969" max="9216" width="9.140625" style="182"/>
    <col min="9217" max="9217" width="5.7109375" style="182" customWidth="1"/>
    <col min="9218" max="9218" width="12.7109375" style="182" customWidth="1"/>
    <col min="9219" max="9219" width="11.42578125" style="182" customWidth="1"/>
    <col min="9220" max="9220" width="12.42578125" style="182" customWidth="1"/>
    <col min="9221" max="9221" width="19" style="182" customWidth="1"/>
    <col min="9222" max="9222" width="27" style="182" customWidth="1"/>
    <col min="9223" max="9223" width="13" style="182" customWidth="1"/>
    <col min="9224" max="9224" width="19.7109375" style="182" customWidth="1"/>
    <col min="9225" max="9472" width="9.140625" style="182"/>
    <col min="9473" max="9473" width="5.7109375" style="182" customWidth="1"/>
    <col min="9474" max="9474" width="12.7109375" style="182" customWidth="1"/>
    <col min="9475" max="9475" width="11.42578125" style="182" customWidth="1"/>
    <col min="9476" max="9476" width="12.42578125" style="182" customWidth="1"/>
    <col min="9477" max="9477" width="19" style="182" customWidth="1"/>
    <col min="9478" max="9478" width="27" style="182" customWidth="1"/>
    <col min="9479" max="9479" width="13" style="182" customWidth="1"/>
    <col min="9480" max="9480" width="19.7109375" style="182" customWidth="1"/>
    <col min="9481" max="9728" width="9.140625" style="182"/>
    <col min="9729" max="9729" width="5.7109375" style="182" customWidth="1"/>
    <col min="9730" max="9730" width="12.7109375" style="182" customWidth="1"/>
    <col min="9731" max="9731" width="11.42578125" style="182" customWidth="1"/>
    <col min="9732" max="9732" width="12.42578125" style="182" customWidth="1"/>
    <col min="9733" max="9733" width="19" style="182" customWidth="1"/>
    <col min="9734" max="9734" width="27" style="182" customWidth="1"/>
    <col min="9735" max="9735" width="13" style="182" customWidth="1"/>
    <col min="9736" max="9736" width="19.7109375" style="182" customWidth="1"/>
    <col min="9737" max="9984" width="9.140625" style="182"/>
    <col min="9985" max="9985" width="5.7109375" style="182" customWidth="1"/>
    <col min="9986" max="9986" width="12.7109375" style="182" customWidth="1"/>
    <col min="9987" max="9987" width="11.42578125" style="182" customWidth="1"/>
    <col min="9988" max="9988" width="12.42578125" style="182" customWidth="1"/>
    <col min="9989" max="9989" width="19" style="182" customWidth="1"/>
    <col min="9990" max="9990" width="27" style="182" customWidth="1"/>
    <col min="9991" max="9991" width="13" style="182" customWidth="1"/>
    <col min="9992" max="9992" width="19.7109375" style="182" customWidth="1"/>
    <col min="9993" max="10240" width="9.140625" style="182"/>
    <col min="10241" max="10241" width="5.7109375" style="182" customWidth="1"/>
    <col min="10242" max="10242" width="12.7109375" style="182" customWidth="1"/>
    <col min="10243" max="10243" width="11.42578125" style="182" customWidth="1"/>
    <col min="10244" max="10244" width="12.42578125" style="182" customWidth="1"/>
    <col min="10245" max="10245" width="19" style="182" customWidth="1"/>
    <col min="10246" max="10246" width="27" style="182" customWidth="1"/>
    <col min="10247" max="10247" width="13" style="182" customWidth="1"/>
    <col min="10248" max="10248" width="19.7109375" style="182" customWidth="1"/>
    <col min="10249" max="10496" width="9.140625" style="182"/>
    <col min="10497" max="10497" width="5.7109375" style="182" customWidth="1"/>
    <col min="10498" max="10498" width="12.7109375" style="182" customWidth="1"/>
    <col min="10499" max="10499" width="11.42578125" style="182" customWidth="1"/>
    <col min="10500" max="10500" width="12.42578125" style="182" customWidth="1"/>
    <col min="10501" max="10501" width="19" style="182" customWidth="1"/>
    <col min="10502" max="10502" width="27" style="182" customWidth="1"/>
    <col min="10503" max="10503" width="13" style="182" customWidth="1"/>
    <col min="10504" max="10504" width="19.7109375" style="182" customWidth="1"/>
    <col min="10505" max="10752" width="9.140625" style="182"/>
    <col min="10753" max="10753" width="5.7109375" style="182" customWidth="1"/>
    <col min="10754" max="10754" width="12.7109375" style="182" customWidth="1"/>
    <col min="10755" max="10755" width="11.42578125" style="182" customWidth="1"/>
    <col min="10756" max="10756" width="12.42578125" style="182" customWidth="1"/>
    <col min="10757" max="10757" width="19" style="182" customWidth="1"/>
    <col min="10758" max="10758" width="27" style="182" customWidth="1"/>
    <col min="10759" max="10759" width="13" style="182" customWidth="1"/>
    <col min="10760" max="10760" width="19.7109375" style="182" customWidth="1"/>
    <col min="10761" max="11008" width="9.140625" style="182"/>
    <col min="11009" max="11009" width="5.7109375" style="182" customWidth="1"/>
    <col min="11010" max="11010" width="12.7109375" style="182" customWidth="1"/>
    <col min="11011" max="11011" width="11.42578125" style="182" customWidth="1"/>
    <col min="11012" max="11012" width="12.42578125" style="182" customWidth="1"/>
    <col min="11013" max="11013" width="19" style="182" customWidth="1"/>
    <col min="11014" max="11014" width="27" style="182" customWidth="1"/>
    <col min="11015" max="11015" width="13" style="182" customWidth="1"/>
    <col min="11016" max="11016" width="19.7109375" style="182" customWidth="1"/>
    <col min="11017" max="11264" width="9.140625" style="182"/>
    <col min="11265" max="11265" width="5.7109375" style="182" customWidth="1"/>
    <col min="11266" max="11266" width="12.7109375" style="182" customWidth="1"/>
    <col min="11267" max="11267" width="11.42578125" style="182" customWidth="1"/>
    <col min="11268" max="11268" width="12.42578125" style="182" customWidth="1"/>
    <col min="11269" max="11269" width="19" style="182" customWidth="1"/>
    <col min="11270" max="11270" width="27" style="182" customWidth="1"/>
    <col min="11271" max="11271" width="13" style="182" customWidth="1"/>
    <col min="11272" max="11272" width="19.7109375" style="182" customWidth="1"/>
    <col min="11273" max="11520" width="9.140625" style="182"/>
    <col min="11521" max="11521" width="5.7109375" style="182" customWidth="1"/>
    <col min="11522" max="11522" width="12.7109375" style="182" customWidth="1"/>
    <col min="11523" max="11523" width="11.42578125" style="182" customWidth="1"/>
    <col min="11524" max="11524" width="12.42578125" style="182" customWidth="1"/>
    <col min="11525" max="11525" width="19" style="182" customWidth="1"/>
    <col min="11526" max="11526" width="27" style="182" customWidth="1"/>
    <col min="11527" max="11527" width="13" style="182" customWidth="1"/>
    <col min="11528" max="11528" width="19.7109375" style="182" customWidth="1"/>
    <col min="11529" max="11776" width="9.140625" style="182"/>
    <col min="11777" max="11777" width="5.7109375" style="182" customWidth="1"/>
    <col min="11778" max="11778" width="12.7109375" style="182" customWidth="1"/>
    <col min="11779" max="11779" width="11.42578125" style="182" customWidth="1"/>
    <col min="11780" max="11780" width="12.42578125" style="182" customWidth="1"/>
    <col min="11781" max="11781" width="19" style="182" customWidth="1"/>
    <col min="11782" max="11782" width="27" style="182" customWidth="1"/>
    <col min="11783" max="11783" width="13" style="182" customWidth="1"/>
    <col min="11784" max="11784" width="19.7109375" style="182" customWidth="1"/>
    <col min="11785" max="12032" width="9.140625" style="182"/>
    <col min="12033" max="12033" width="5.7109375" style="182" customWidth="1"/>
    <col min="12034" max="12034" width="12.7109375" style="182" customWidth="1"/>
    <col min="12035" max="12035" width="11.42578125" style="182" customWidth="1"/>
    <col min="12036" max="12036" width="12.42578125" style="182" customWidth="1"/>
    <col min="12037" max="12037" width="19" style="182" customWidth="1"/>
    <col min="12038" max="12038" width="27" style="182" customWidth="1"/>
    <col min="12039" max="12039" width="13" style="182" customWidth="1"/>
    <col min="12040" max="12040" width="19.7109375" style="182" customWidth="1"/>
    <col min="12041" max="12288" width="9.140625" style="182"/>
    <col min="12289" max="12289" width="5.7109375" style="182" customWidth="1"/>
    <col min="12290" max="12290" width="12.7109375" style="182" customWidth="1"/>
    <col min="12291" max="12291" width="11.42578125" style="182" customWidth="1"/>
    <col min="12292" max="12292" width="12.42578125" style="182" customWidth="1"/>
    <col min="12293" max="12293" width="19" style="182" customWidth="1"/>
    <col min="12294" max="12294" width="27" style="182" customWidth="1"/>
    <col min="12295" max="12295" width="13" style="182" customWidth="1"/>
    <col min="12296" max="12296" width="19.7109375" style="182" customWidth="1"/>
    <col min="12297" max="12544" width="9.140625" style="182"/>
    <col min="12545" max="12545" width="5.7109375" style="182" customWidth="1"/>
    <col min="12546" max="12546" width="12.7109375" style="182" customWidth="1"/>
    <col min="12547" max="12547" width="11.42578125" style="182" customWidth="1"/>
    <col min="12548" max="12548" width="12.42578125" style="182" customWidth="1"/>
    <col min="12549" max="12549" width="19" style="182" customWidth="1"/>
    <col min="12550" max="12550" width="27" style="182" customWidth="1"/>
    <col min="12551" max="12551" width="13" style="182" customWidth="1"/>
    <col min="12552" max="12552" width="19.7109375" style="182" customWidth="1"/>
    <col min="12553" max="12800" width="9.140625" style="182"/>
    <col min="12801" max="12801" width="5.7109375" style="182" customWidth="1"/>
    <col min="12802" max="12802" width="12.7109375" style="182" customWidth="1"/>
    <col min="12803" max="12803" width="11.42578125" style="182" customWidth="1"/>
    <col min="12804" max="12804" width="12.42578125" style="182" customWidth="1"/>
    <col min="12805" max="12805" width="19" style="182" customWidth="1"/>
    <col min="12806" max="12806" width="27" style="182" customWidth="1"/>
    <col min="12807" max="12807" width="13" style="182" customWidth="1"/>
    <col min="12808" max="12808" width="19.7109375" style="182" customWidth="1"/>
    <col min="12809" max="13056" width="9.140625" style="182"/>
    <col min="13057" max="13057" width="5.7109375" style="182" customWidth="1"/>
    <col min="13058" max="13058" width="12.7109375" style="182" customWidth="1"/>
    <col min="13059" max="13059" width="11.42578125" style="182" customWidth="1"/>
    <col min="13060" max="13060" width="12.42578125" style="182" customWidth="1"/>
    <col min="13061" max="13061" width="19" style="182" customWidth="1"/>
    <col min="13062" max="13062" width="27" style="182" customWidth="1"/>
    <col min="13063" max="13063" width="13" style="182" customWidth="1"/>
    <col min="13064" max="13064" width="19.7109375" style="182" customWidth="1"/>
    <col min="13065" max="13312" width="9.140625" style="182"/>
    <col min="13313" max="13313" width="5.7109375" style="182" customWidth="1"/>
    <col min="13314" max="13314" width="12.7109375" style="182" customWidth="1"/>
    <col min="13315" max="13315" width="11.42578125" style="182" customWidth="1"/>
    <col min="13316" max="13316" width="12.42578125" style="182" customWidth="1"/>
    <col min="13317" max="13317" width="19" style="182" customWidth="1"/>
    <col min="13318" max="13318" width="27" style="182" customWidth="1"/>
    <col min="13319" max="13319" width="13" style="182" customWidth="1"/>
    <col min="13320" max="13320" width="19.7109375" style="182" customWidth="1"/>
    <col min="13321" max="13568" width="9.140625" style="182"/>
    <col min="13569" max="13569" width="5.7109375" style="182" customWidth="1"/>
    <col min="13570" max="13570" width="12.7109375" style="182" customWidth="1"/>
    <col min="13571" max="13571" width="11.42578125" style="182" customWidth="1"/>
    <col min="13572" max="13572" width="12.42578125" style="182" customWidth="1"/>
    <col min="13573" max="13573" width="19" style="182" customWidth="1"/>
    <col min="13574" max="13574" width="27" style="182" customWidth="1"/>
    <col min="13575" max="13575" width="13" style="182" customWidth="1"/>
    <col min="13576" max="13576" width="19.7109375" style="182" customWidth="1"/>
    <col min="13577" max="13824" width="9.140625" style="182"/>
    <col min="13825" max="13825" width="5.7109375" style="182" customWidth="1"/>
    <col min="13826" max="13826" width="12.7109375" style="182" customWidth="1"/>
    <col min="13827" max="13827" width="11.42578125" style="182" customWidth="1"/>
    <col min="13828" max="13828" width="12.42578125" style="182" customWidth="1"/>
    <col min="13829" max="13829" width="19" style="182" customWidth="1"/>
    <col min="13830" max="13830" width="27" style="182" customWidth="1"/>
    <col min="13831" max="13831" width="13" style="182" customWidth="1"/>
    <col min="13832" max="13832" width="19.7109375" style="182" customWidth="1"/>
    <col min="13833" max="14080" width="9.140625" style="182"/>
    <col min="14081" max="14081" width="5.7109375" style="182" customWidth="1"/>
    <col min="14082" max="14082" width="12.7109375" style="182" customWidth="1"/>
    <col min="14083" max="14083" width="11.42578125" style="182" customWidth="1"/>
    <col min="14084" max="14084" width="12.42578125" style="182" customWidth="1"/>
    <col min="14085" max="14085" width="19" style="182" customWidth="1"/>
    <col min="14086" max="14086" width="27" style="182" customWidth="1"/>
    <col min="14087" max="14087" width="13" style="182" customWidth="1"/>
    <col min="14088" max="14088" width="19.7109375" style="182" customWidth="1"/>
    <col min="14089" max="14336" width="9.140625" style="182"/>
    <col min="14337" max="14337" width="5.7109375" style="182" customWidth="1"/>
    <col min="14338" max="14338" width="12.7109375" style="182" customWidth="1"/>
    <col min="14339" max="14339" width="11.42578125" style="182" customWidth="1"/>
    <col min="14340" max="14340" width="12.42578125" style="182" customWidth="1"/>
    <col min="14341" max="14341" width="19" style="182" customWidth="1"/>
    <col min="14342" max="14342" width="27" style="182" customWidth="1"/>
    <col min="14343" max="14343" width="13" style="182" customWidth="1"/>
    <col min="14344" max="14344" width="19.7109375" style="182" customWidth="1"/>
    <col min="14345" max="14592" width="9.140625" style="182"/>
    <col min="14593" max="14593" width="5.7109375" style="182" customWidth="1"/>
    <col min="14594" max="14594" width="12.7109375" style="182" customWidth="1"/>
    <col min="14595" max="14595" width="11.42578125" style="182" customWidth="1"/>
    <col min="14596" max="14596" width="12.42578125" style="182" customWidth="1"/>
    <col min="14597" max="14597" width="19" style="182" customWidth="1"/>
    <col min="14598" max="14598" width="27" style="182" customWidth="1"/>
    <col min="14599" max="14599" width="13" style="182" customWidth="1"/>
    <col min="14600" max="14600" width="19.7109375" style="182" customWidth="1"/>
    <col min="14601" max="14848" width="9.140625" style="182"/>
    <col min="14849" max="14849" width="5.7109375" style="182" customWidth="1"/>
    <col min="14850" max="14850" width="12.7109375" style="182" customWidth="1"/>
    <col min="14851" max="14851" width="11.42578125" style="182" customWidth="1"/>
    <col min="14852" max="14852" width="12.42578125" style="182" customWidth="1"/>
    <col min="14853" max="14853" width="19" style="182" customWidth="1"/>
    <col min="14854" max="14854" width="27" style="182" customWidth="1"/>
    <col min="14855" max="14855" width="13" style="182" customWidth="1"/>
    <col min="14856" max="14856" width="19.7109375" style="182" customWidth="1"/>
    <col min="14857" max="15104" width="9.140625" style="182"/>
    <col min="15105" max="15105" width="5.7109375" style="182" customWidth="1"/>
    <col min="15106" max="15106" width="12.7109375" style="182" customWidth="1"/>
    <col min="15107" max="15107" width="11.42578125" style="182" customWidth="1"/>
    <col min="15108" max="15108" width="12.42578125" style="182" customWidth="1"/>
    <col min="15109" max="15109" width="19" style="182" customWidth="1"/>
    <col min="15110" max="15110" width="27" style="182" customWidth="1"/>
    <col min="15111" max="15111" width="13" style="182" customWidth="1"/>
    <col min="15112" max="15112" width="19.7109375" style="182" customWidth="1"/>
    <col min="15113" max="15360" width="9.140625" style="182"/>
    <col min="15361" max="15361" width="5.7109375" style="182" customWidth="1"/>
    <col min="15362" max="15362" width="12.7109375" style="182" customWidth="1"/>
    <col min="15363" max="15363" width="11.42578125" style="182" customWidth="1"/>
    <col min="15364" max="15364" width="12.42578125" style="182" customWidth="1"/>
    <col min="15365" max="15365" width="19" style="182" customWidth="1"/>
    <col min="15366" max="15366" width="27" style="182" customWidth="1"/>
    <col min="15367" max="15367" width="13" style="182" customWidth="1"/>
    <col min="15368" max="15368" width="19.7109375" style="182" customWidth="1"/>
    <col min="15369" max="15616" width="9.140625" style="182"/>
    <col min="15617" max="15617" width="5.7109375" style="182" customWidth="1"/>
    <col min="15618" max="15618" width="12.7109375" style="182" customWidth="1"/>
    <col min="15619" max="15619" width="11.42578125" style="182" customWidth="1"/>
    <col min="15620" max="15620" width="12.42578125" style="182" customWidth="1"/>
    <col min="15621" max="15621" width="19" style="182" customWidth="1"/>
    <col min="15622" max="15622" width="27" style="182" customWidth="1"/>
    <col min="15623" max="15623" width="13" style="182" customWidth="1"/>
    <col min="15624" max="15624" width="19.7109375" style="182" customWidth="1"/>
    <col min="15625" max="15872" width="9.140625" style="182"/>
    <col min="15873" max="15873" width="5.7109375" style="182" customWidth="1"/>
    <col min="15874" max="15874" width="12.7109375" style="182" customWidth="1"/>
    <col min="15875" max="15875" width="11.42578125" style="182" customWidth="1"/>
    <col min="15876" max="15876" width="12.42578125" style="182" customWidth="1"/>
    <col min="15877" max="15877" width="19" style="182" customWidth="1"/>
    <col min="15878" max="15878" width="27" style="182" customWidth="1"/>
    <col min="15879" max="15879" width="13" style="182" customWidth="1"/>
    <col min="15880" max="15880" width="19.7109375" style="182" customWidth="1"/>
    <col min="15881" max="16128" width="9.140625" style="182"/>
    <col min="16129" max="16129" width="5.7109375" style="182" customWidth="1"/>
    <col min="16130" max="16130" width="12.7109375" style="182" customWidth="1"/>
    <col min="16131" max="16131" width="11.42578125" style="182" customWidth="1"/>
    <col min="16132" max="16132" width="12.42578125" style="182" customWidth="1"/>
    <col min="16133" max="16133" width="19" style="182" customWidth="1"/>
    <col min="16134" max="16134" width="27" style="182" customWidth="1"/>
    <col min="16135" max="16135" width="13" style="182" customWidth="1"/>
    <col min="16136" max="16136" width="19.7109375" style="182" customWidth="1"/>
    <col min="16137" max="16384" width="9.140625" style="182"/>
  </cols>
  <sheetData>
    <row r="1" spans="2:8" ht="18" customHeight="1"/>
    <row r="2" spans="2:8" ht="21" customHeight="1">
      <c r="B2" s="290"/>
      <c r="C2" s="291"/>
      <c r="D2" s="294" t="s">
        <v>323</v>
      </c>
      <c r="E2" s="295"/>
      <c r="F2" s="295"/>
      <c r="G2" s="296"/>
      <c r="H2" s="306"/>
    </row>
    <row r="3" spans="2:8" ht="21" customHeight="1">
      <c r="B3" s="292"/>
      <c r="C3" s="293"/>
      <c r="D3" s="297"/>
      <c r="E3" s="298"/>
      <c r="F3" s="298"/>
      <c r="G3" s="299"/>
      <c r="H3" s="307"/>
    </row>
    <row r="4" spans="2:8" ht="12.75" customHeight="1">
      <c r="B4" s="303" t="s">
        <v>324</v>
      </c>
      <c r="C4" s="304"/>
      <c r="D4" s="303" t="s">
        <v>425</v>
      </c>
      <c r="E4" s="305"/>
      <c r="F4" s="305"/>
      <c r="G4" s="304"/>
      <c r="H4" s="191" t="s">
        <v>426</v>
      </c>
    </row>
    <row r="5" spans="2:8" ht="12.75" customHeight="1"/>
    <row r="6" spans="2:8" ht="12.75" customHeight="1"/>
    <row r="7" spans="2:8" ht="23.25" customHeight="1">
      <c r="B7" s="300" t="s">
        <v>317</v>
      </c>
      <c r="C7" s="301"/>
      <c r="D7" s="301"/>
      <c r="E7" s="301"/>
      <c r="F7" s="301"/>
      <c r="G7" s="301"/>
      <c r="H7" s="302"/>
    </row>
    <row r="9" spans="2:8" ht="36" customHeight="1">
      <c r="B9" s="183" t="s">
        <v>318</v>
      </c>
      <c r="C9" s="183" t="s">
        <v>48</v>
      </c>
      <c r="D9" s="183" t="s">
        <v>176</v>
      </c>
      <c r="E9" s="183" t="s">
        <v>319</v>
      </c>
      <c r="F9" s="183" t="s">
        <v>5</v>
      </c>
      <c r="G9" s="183" t="s">
        <v>96</v>
      </c>
      <c r="H9" s="183" t="s">
        <v>320</v>
      </c>
    </row>
    <row r="10" spans="2:8" ht="24">
      <c r="B10" s="184">
        <v>1</v>
      </c>
      <c r="C10" s="185">
        <v>0.1</v>
      </c>
      <c r="D10" s="186">
        <v>41598</v>
      </c>
      <c r="E10" s="187" t="s">
        <v>325</v>
      </c>
      <c r="F10" s="188" t="s">
        <v>326</v>
      </c>
      <c r="G10" s="184" t="s">
        <v>322</v>
      </c>
      <c r="H10" s="184" t="s">
        <v>126</v>
      </c>
    </row>
    <row r="11" spans="2:8" ht="24">
      <c r="B11" s="184">
        <v>2</v>
      </c>
      <c r="C11" s="185">
        <v>1</v>
      </c>
      <c r="D11" s="186">
        <v>41610</v>
      </c>
      <c r="E11" s="187" t="s">
        <v>325</v>
      </c>
      <c r="F11" s="188" t="s">
        <v>326</v>
      </c>
      <c r="G11" s="184" t="s">
        <v>321</v>
      </c>
      <c r="H11" s="184" t="s">
        <v>126</v>
      </c>
    </row>
    <row r="12" spans="2:8" ht="36">
      <c r="B12" s="184">
        <v>3</v>
      </c>
      <c r="C12" s="185">
        <v>1.1000000000000001</v>
      </c>
      <c r="D12" s="186">
        <v>41655</v>
      </c>
      <c r="E12" s="187" t="s">
        <v>128</v>
      </c>
      <c r="F12" s="188" t="s">
        <v>393</v>
      </c>
      <c r="G12" s="184">
        <v>7</v>
      </c>
      <c r="H12" s="184" t="s">
        <v>126</v>
      </c>
    </row>
    <row r="13" spans="2:8" ht="36">
      <c r="B13" s="184">
        <v>4</v>
      </c>
      <c r="C13" s="185">
        <v>2</v>
      </c>
      <c r="D13" s="186">
        <v>41655</v>
      </c>
      <c r="E13" s="187" t="s">
        <v>128</v>
      </c>
      <c r="F13" s="188" t="s">
        <v>393</v>
      </c>
      <c r="G13" s="184" t="s">
        <v>321</v>
      </c>
      <c r="H13" s="184" t="s">
        <v>126</v>
      </c>
    </row>
    <row r="14" spans="2:8" ht="48">
      <c r="B14" s="184">
        <v>5</v>
      </c>
      <c r="C14" s="185">
        <v>2.1</v>
      </c>
      <c r="D14" s="186">
        <v>41663</v>
      </c>
      <c r="E14" s="187" t="s">
        <v>325</v>
      </c>
      <c r="F14" s="188" t="s">
        <v>421</v>
      </c>
      <c r="G14" s="184" t="s">
        <v>322</v>
      </c>
      <c r="H14" s="184" t="s">
        <v>126</v>
      </c>
    </row>
    <row r="15" spans="2:8" ht="48">
      <c r="B15" s="184">
        <v>6</v>
      </c>
      <c r="C15" s="185">
        <v>3</v>
      </c>
      <c r="D15" s="186">
        <v>41663</v>
      </c>
      <c r="E15" s="187" t="s">
        <v>325</v>
      </c>
      <c r="F15" s="188" t="s">
        <v>421</v>
      </c>
      <c r="G15" s="184" t="s">
        <v>321</v>
      </c>
      <c r="H15" s="184" t="s">
        <v>126</v>
      </c>
    </row>
    <row r="16" spans="2:8" ht="24">
      <c r="B16" s="184">
        <v>7</v>
      </c>
      <c r="C16" s="185">
        <v>4</v>
      </c>
      <c r="D16" s="186">
        <v>41766</v>
      </c>
      <c r="E16" s="187" t="s">
        <v>325</v>
      </c>
      <c r="F16" s="188" t="s">
        <v>424</v>
      </c>
      <c r="G16" s="184" t="s">
        <v>321</v>
      </c>
      <c r="H16" s="184" t="s">
        <v>126</v>
      </c>
    </row>
    <row r="17" spans="2:8">
      <c r="B17" s="184"/>
      <c r="C17" s="185"/>
      <c r="D17" s="186"/>
      <c r="E17" s="187"/>
      <c r="F17" s="188"/>
      <c r="G17" s="184"/>
      <c r="H17" s="184"/>
    </row>
    <row r="18" spans="2:8">
      <c r="B18" s="184"/>
      <c r="C18" s="185"/>
      <c r="D18" s="186"/>
      <c r="E18" s="187"/>
      <c r="F18" s="188"/>
      <c r="G18" s="184"/>
      <c r="H18" s="184"/>
    </row>
  </sheetData>
  <mergeCells count="6">
    <mergeCell ref="B2:C3"/>
    <mergeCell ref="D2:G3"/>
    <mergeCell ref="B7:H7"/>
    <mergeCell ref="B4:C4"/>
    <mergeCell ref="D4:G4"/>
    <mergeCell ref="H2:H3"/>
  </mergeCells>
  <pageMargins left="0.7" right="0.7" top="0.75" bottom="0.75" header="0.3" footer="0.3"/>
  <drawing r:id="rId1"/>
  <legacyDrawing r:id="rId2"/>
  <oleObjects>
    <mc:AlternateContent xmlns:mc="http://schemas.openxmlformats.org/markup-compatibility/2006">
      <mc:Choice Requires="x14">
        <oleObject progId="PBrush" shapeId="29697" r:id="rId3">
          <objectPr defaultSize="0" autoPict="0" r:id="rId4">
            <anchor moveWithCells="1" sizeWithCells="1">
              <from>
                <xdr:col>1</xdr:col>
                <xdr:colOff>180975</xdr:colOff>
                <xdr:row>1</xdr:row>
                <xdr:rowOff>66675</xdr:rowOff>
              </from>
              <to>
                <xdr:col>2</xdr:col>
                <xdr:colOff>561975</xdr:colOff>
                <xdr:row>3</xdr:row>
                <xdr:rowOff>0</xdr:rowOff>
              </to>
            </anchor>
          </objectPr>
        </oleObject>
      </mc:Choice>
      <mc:Fallback>
        <oleObject progId="PBrush" shapeId="29697" r:id="rId3"/>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238"/>
  <sheetViews>
    <sheetView showGridLines="0" topLeftCell="A145" workbookViewId="0">
      <selection activeCell="B19" sqref="B19"/>
    </sheetView>
  </sheetViews>
  <sheetFormatPr baseColWidth="10" defaultColWidth="9.140625" defaultRowHeight="12"/>
  <cols>
    <col min="1" max="1" width="3" style="68" customWidth="1"/>
    <col min="2" max="2" width="27.5703125" style="68" customWidth="1"/>
    <col min="3" max="3" width="11.5703125" style="68" customWidth="1"/>
    <col min="4" max="5" width="12.42578125" style="68" customWidth="1"/>
    <col min="6" max="6" width="27.5703125" style="68" customWidth="1"/>
    <col min="7" max="7" width="22" style="68" customWidth="1"/>
    <col min="8" max="16384" width="9.140625" style="68"/>
  </cols>
  <sheetData>
    <row r="1" spans="1:7" ht="11.25" customHeight="1"/>
    <row r="2" spans="1:7" ht="44.25" customHeight="1">
      <c r="A2" s="69"/>
      <c r="B2" s="71"/>
      <c r="C2" s="342" t="s">
        <v>323</v>
      </c>
      <c r="D2" s="343"/>
      <c r="E2" s="343"/>
      <c r="F2" s="344"/>
      <c r="G2" s="70"/>
    </row>
    <row r="3" spans="1:7" hidden="1">
      <c r="A3" s="69"/>
      <c r="B3" s="194" t="s">
        <v>324</v>
      </c>
      <c r="C3" s="308" t="s">
        <v>425</v>
      </c>
      <c r="D3" s="309"/>
      <c r="E3" s="309"/>
      <c r="F3" s="310"/>
      <c r="G3" s="179" t="s">
        <v>426</v>
      </c>
    </row>
    <row r="4" spans="1:7">
      <c r="A4" s="69"/>
      <c r="B4" s="190"/>
      <c r="C4" s="181"/>
      <c r="D4" s="181"/>
      <c r="E4" s="181"/>
      <c r="F4" s="181"/>
      <c r="G4" s="119"/>
    </row>
    <row r="5" spans="1:7" ht="21.75" customHeight="1">
      <c r="A5" s="69"/>
      <c r="B5" s="105" t="s">
        <v>51</v>
      </c>
      <c r="C5" s="72"/>
      <c r="D5" s="72"/>
      <c r="E5" s="72"/>
      <c r="F5" s="72"/>
      <c r="G5" s="72"/>
    </row>
    <row r="6" spans="1:7" ht="36" customHeight="1">
      <c r="A6" s="69"/>
      <c r="B6" s="336" t="s">
        <v>328</v>
      </c>
      <c r="C6" s="336"/>
      <c r="D6" s="336"/>
      <c r="E6" s="336"/>
      <c r="F6" s="336"/>
      <c r="G6" s="336"/>
    </row>
    <row r="7" spans="1:7">
      <c r="A7" s="69"/>
      <c r="B7" s="73"/>
      <c r="C7" s="73"/>
      <c r="D7" s="73"/>
      <c r="E7" s="73"/>
      <c r="F7" s="73"/>
      <c r="G7" s="73"/>
    </row>
    <row r="8" spans="1:7">
      <c r="A8" s="69"/>
      <c r="B8" s="106" t="s">
        <v>9</v>
      </c>
      <c r="C8" s="72"/>
      <c r="D8" s="72"/>
      <c r="E8" s="72"/>
      <c r="F8" s="72"/>
      <c r="G8" s="72"/>
    </row>
    <row r="9" spans="1:7">
      <c r="A9" s="69"/>
      <c r="B9" s="74" t="s">
        <v>9</v>
      </c>
      <c r="C9" s="75"/>
      <c r="D9" s="334" t="s">
        <v>5</v>
      </c>
      <c r="E9" s="334"/>
      <c r="F9" s="334"/>
      <c r="G9" s="334"/>
    </row>
    <row r="10" spans="1:7">
      <c r="A10" s="69"/>
      <c r="C10" s="72"/>
      <c r="D10" s="76"/>
      <c r="E10" s="76"/>
      <c r="F10" s="76"/>
      <c r="G10" s="76"/>
    </row>
    <row r="11" spans="1:7" ht="12" customHeight="1">
      <c r="A11" s="69"/>
      <c r="B11" s="77" t="s">
        <v>124</v>
      </c>
      <c r="D11" s="337" t="s">
        <v>10</v>
      </c>
      <c r="E11" s="337"/>
      <c r="F11" s="337"/>
      <c r="G11" s="337"/>
    </row>
    <row r="12" spans="1:7" ht="9.9499999999999993" customHeight="1">
      <c r="A12" s="69"/>
      <c r="B12" s="78"/>
    </row>
    <row r="13" spans="1:7">
      <c r="A13" s="69"/>
      <c r="B13" s="79" t="s">
        <v>124</v>
      </c>
      <c r="D13" s="337" t="s">
        <v>11</v>
      </c>
      <c r="E13" s="337"/>
      <c r="F13" s="337"/>
      <c r="G13" s="337"/>
    </row>
    <row r="14" spans="1:7" ht="9.9499999999999993" customHeight="1">
      <c r="A14" s="69"/>
      <c r="B14" s="76"/>
    </row>
    <row r="15" spans="1:7" ht="12" customHeight="1">
      <c r="A15" s="80"/>
      <c r="B15" s="81" t="s">
        <v>124</v>
      </c>
      <c r="D15" s="337" t="s">
        <v>52</v>
      </c>
      <c r="E15" s="337"/>
      <c r="F15" s="337"/>
      <c r="G15" s="337"/>
    </row>
    <row r="16" spans="1:7">
      <c r="A16" s="80"/>
      <c r="B16" s="76"/>
    </row>
    <row r="17" spans="1:7" ht="12" customHeight="1">
      <c r="A17" s="80"/>
      <c r="B17" s="82" t="s">
        <v>124</v>
      </c>
      <c r="D17" s="337" t="s">
        <v>49</v>
      </c>
      <c r="E17" s="337"/>
      <c r="F17" s="337"/>
      <c r="G17" s="337"/>
    </row>
    <row r="18" spans="1:7" s="85" customFormat="1" ht="12" customHeight="1">
      <c r="A18" s="83"/>
      <c r="B18" s="84"/>
      <c r="D18" s="86"/>
      <c r="E18" s="86"/>
      <c r="F18" s="86"/>
      <c r="G18" s="86"/>
    </row>
    <row r="19" spans="1:7">
      <c r="A19" s="80"/>
    </row>
    <row r="20" spans="1:7" s="63" customFormat="1" ht="16.5" customHeight="1">
      <c r="B20" s="324" t="s">
        <v>14</v>
      </c>
      <c r="C20" s="324"/>
      <c r="D20" s="324"/>
      <c r="E20" s="324"/>
      <c r="F20" s="324"/>
      <c r="G20" s="324"/>
    </row>
    <row r="21" spans="1:7" s="63" customFormat="1" ht="13.5" customHeight="1">
      <c r="B21" s="87" t="s">
        <v>12</v>
      </c>
      <c r="C21" s="324" t="s">
        <v>5</v>
      </c>
      <c r="D21" s="324"/>
      <c r="E21" s="324"/>
      <c r="F21" s="324"/>
      <c r="G21" s="324"/>
    </row>
    <row r="22" spans="1:7" s="88" customFormat="1" ht="12.75" customHeight="1">
      <c r="B22" s="64" t="s">
        <v>15</v>
      </c>
      <c r="C22" s="311" t="s">
        <v>66</v>
      </c>
      <c r="D22" s="311"/>
      <c r="E22" s="311"/>
      <c r="F22" s="311"/>
      <c r="G22" s="311"/>
    </row>
    <row r="23" spans="1:7" s="88" customFormat="1" ht="24.75" customHeight="1">
      <c r="B23" s="64" t="s">
        <v>53</v>
      </c>
      <c r="C23" s="311" t="s">
        <v>378</v>
      </c>
      <c r="D23" s="311"/>
      <c r="E23" s="311"/>
      <c r="F23" s="311"/>
      <c r="G23" s="311"/>
    </row>
    <row r="24" spans="1:7" s="88" customFormat="1" ht="13.5" customHeight="1">
      <c r="B24" s="64" t="s">
        <v>25</v>
      </c>
      <c r="C24" s="311" t="s">
        <v>100</v>
      </c>
      <c r="D24" s="311"/>
      <c r="E24" s="311"/>
      <c r="F24" s="311"/>
      <c r="G24" s="311"/>
    </row>
    <row r="25" spans="1:7" s="88" customFormat="1" ht="24.75" customHeight="1">
      <c r="B25" s="64" t="s">
        <v>56</v>
      </c>
      <c r="C25" s="311" t="s">
        <v>57</v>
      </c>
      <c r="D25" s="311"/>
      <c r="E25" s="311"/>
      <c r="F25" s="311"/>
      <c r="G25" s="311"/>
    </row>
    <row r="26" spans="1:7" s="88" customFormat="1" ht="36" customHeight="1">
      <c r="B26" s="180" t="s">
        <v>180</v>
      </c>
      <c r="C26" s="311" t="s">
        <v>329</v>
      </c>
      <c r="D26" s="311"/>
      <c r="E26" s="311"/>
      <c r="F26" s="311"/>
      <c r="G26" s="311"/>
    </row>
    <row r="27" spans="1:7" s="88" customFormat="1" ht="25.5" customHeight="1">
      <c r="B27" s="64" t="s">
        <v>335</v>
      </c>
      <c r="C27" s="311" t="s">
        <v>334</v>
      </c>
      <c r="D27" s="311"/>
      <c r="E27" s="311"/>
      <c r="F27" s="311"/>
      <c r="G27" s="311"/>
    </row>
    <row r="28" spans="1:7" s="88" customFormat="1" ht="47.25" customHeight="1">
      <c r="B28" s="64" t="s">
        <v>337</v>
      </c>
      <c r="C28" s="311" t="s">
        <v>336</v>
      </c>
      <c r="D28" s="311"/>
      <c r="E28" s="311"/>
      <c r="F28" s="311"/>
      <c r="G28" s="311"/>
    </row>
    <row r="29" spans="1:7" s="88" customFormat="1" ht="38.25" customHeight="1">
      <c r="B29" s="64" t="s">
        <v>338</v>
      </c>
      <c r="C29" s="311" t="s">
        <v>339</v>
      </c>
      <c r="D29" s="311"/>
      <c r="E29" s="311"/>
      <c r="F29" s="311"/>
      <c r="G29" s="311"/>
    </row>
    <row r="30" spans="1:7" s="88" customFormat="1">
      <c r="B30" s="64" t="s">
        <v>340</v>
      </c>
      <c r="C30" s="311" t="s">
        <v>341</v>
      </c>
      <c r="D30" s="311"/>
      <c r="E30" s="311"/>
      <c r="F30" s="311"/>
      <c r="G30" s="311"/>
    </row>
    <row r="31" spans="1:7" s="88" customFormat="1" ht="26.25" customHeight="1">
      <c r="B31" s="64" t="s">
        <v>342</v>
      </c>
      <c r="C31" s="311" t="s">
        <v>345</v>
      </c>
      <c r="D31" s="311"/>
      <c r="E31" s="311"/>
      <c r="F31" s="311"/>
      <c r="G31" s="311"/>
    </row>
    <row r="32" spans="1:7" s="88" customFormat="1">
      <c r="B32" s="64" t="s">
        <v>343</v>
      </c>
      <c r="C32" s="311" t="s">
        <v>344</v>
      </c>
      <c r="D32" s="311"/>
      <c r="E32" s="311"/>
      <c r="F32" s="311"/>
      <c r="G32" s="311"/>
    </row>
    <row r="33" spans="1:8" s="88" customFormat="1" ht="13.5" customHeight="1">
      <c r="B33" s="64" t="s">
        <v>50</v>
      </c>
      <c r="C33" s="311" t="s">
        <v>349</v>
      </c>
      <c r="D33" s="311"/>
      <c r="E33" s="311"/>
      <c r="F33" s="311"/>
      <c r="G33" s="311"/>
    </row>
    <row r="34" spans="1:8" s="63" customFormat="1" ht="13.5" customHeight="1">
      <c r="B34" s="65"/>
      <c r="C34" s="66"/>
      <c r="D34" s="66"/>
      <c r="E34" s="66"/>
      <c r="F34" s="66"/>
      <c r="G34" s="66"/>
    </row>
    <row r="35" spans="1:8">
      <c r="A35" s="80"/>
      <c r="B35" s="106"/>
    </row>
    <row r="36" spans="1:8" s="204" customFormat="1">
      <c r="B36" s="334" t="s">
        <v>351</v>
      </c>
      <c r="C36" s="334"/>
      <c r="D36" s="334"/>
      <c r="E36" s="334"/>
      <c r="F36" s="334"/>
      <c r="G36" s="334"/>
    </row>
    <row r="37" spans="1:8" s="204" customFormat="1">
      <c r="B37" s="197" t="s">
        <v>352</v>
      </c>
      <c r="C37" s="334" t="s">
        <v>5</v>
      </c>
      <c r="D37" s="334"/>
      <c r="E37" s="334"/>
      <c r="F37" s="334"/>
      <c r="G37" s="334"/>
    </row>
    <row r="38" spans="1:8" s="204" customFormat="1">
      <c r="B38" s="205" t="s">
        <v>48</v>
      </c>
      <c r="C38" s="320" t="s">
        <v>353</v>
      </c>
      <c r="D38" s="320"/>
      <c r="E38" s="320"/>
      <c r="F38" s="320"/>
      <c r="G38" s="320"/>
    </row>
    <row r="39" spans="1:8" s="204" customFormat="1" ht="12" customHeight="1">
      <c r="B39" s="205" t="s">
        <v>136</v>
      </c>
      <c r="C39" s="320" t="s">
        <v>354</v>
      </c>
      <c r="D39" s="320"/>
      <c r="E39" s="320"/>
      <c r="F39" s="320"/>
      <c r="G39" s="320"/>
    </row>
    <row r="40" spans="1:8" s="204" customFormat="1">
      <c r="B40" s="205" t="s">
        <v>137</v>
      </c>
      <c r="C40" s="320" t="s">
        <v>355</v>
      </c>
      <c r="D40" s="320"/>
      <c r="E40" s="320"/>
      <c r="F40" s="320"/>
      <c r="G40" s="320"/>
    </row>
    <row r="41" spans="1:8" s="204" customFormat="1" ht="39.75" customHeight="1">
      <c r="B41" s="205" t="s">
        <v>138</v>
      </c>
      <c r="C41" s="321" t="s">
        <v>356</v>
      </c>
      <c r="D41" s="322"/>
      <c r="E41" s="322"/>
      <c r="F41" s="322"/>
      <c r="G41" s="323"/>
    </row>
    <row r="42" spans="1:8" s="204" customFormat="1"/>
    <row r="43" spans="1:8" s="204" customFormat="1"/>
    <row r="44" spans="1:8" s="63" customFormat="1" ht="16.5" customHeight="1">
      <c r="B44" s="324" t="s">
        <v>54</v>
      </c>
      <c r="C44" s="324"/>
      <c r="D44" s="324"/>
      <c r="E44" s="324"/>
      <c r="F44" s="324"/>
      <c r="G44" s="324"/>
    </row>
    <row r="45" spans="1:8" s="63" customFormat="1" ht="13.5" customHeight="1">
      <c r="B45" s="162" t="s">
        <v>12</v>
      </c>
      <c r="C45" s="324" t="s">
        <v>5</v>
      </c>
      <c r="D45" s="324"/>
      <c r="E45" s="324"/>
      <c r="F45" s="324"/>
      <c r="G45" s="324"/>
    </row>
    <row r="46" spans="1:8" s="67" customFormat="1" ht="12.75" customHeight="1">
      <c r="B46" s="205" t="s">
        <v>24</v>
      </c>
      <c r="C46" s="314" t="s">
        <v>113</v>
      </c>
      <c r="D46" s="314"/>
      <c r="E46" s="314"/>
      <c r="F46" s="314"/>
      <c r="G46" s="314"/>
      <c r="H46" s="68"/>
    </row>
    <row r="47" spans="1:8" s="67" customFormat="1" ht="12.75" customHeight="1">
      <c r="B47" s="205" t="s">
        <v>34</v>
      </c>
      <c r="C47" s="314" t="s">
        <v>114</v>
      </c>
      <c r="D47" s="314"/>
      <c r="E47" s="314"/>
      <c r="F47" s="314"/>
      <c r="G47" s="314"/>
      <c r="H47" s="68"/>
    </row>
    <row r="48" spans="1:8" s="67" customFormat="1" ht="12.75" customHeight="1">
      <c r="B48" s="205" t="s">
        <v>13</v>
      </c>
      <c r="C48" s="314" t="s">
        <v>38</v>
      </c>
      <c r="D48" s="314"/>
      <c r="E48" s="314"/>
      <c r="F48" s="314"/>
      <c r="G48" s="314"/>
      <c r="H48" s="68"/>
    </row>
    <row r="49" spans="2:8" s="67" customFormat="1" ht="12.75" customHeight="1">
      <c r="B49" s="205" t="s">
        <v>5</v>
      </c>
      <c r="C49" s="314" t="s">
        <v>115</v>
      </c>
      <c r="D49" s="314"/>
      <c r="E49" s="314"/>
      <c r="F49" s="314"/>
      <c r="G49" s="314"/>
      <c r="H49" s="68"/>
    </row>
    <row r="50" spans="2:8" s="67" customFormat="1" ht="12.75" customHeight="1">
      <c r="B50" s="205" t="s">
        <v>8</v>
      </c>
      <c r="C50" s="314" t="s">
        <v>116</v>
      </c>
      <c r="D50" s="314"/>
      <c r="E50" s="314"/>
      <c r="F50" s="314"/>
      <c r="G50" s="314"/>
      <c r="H50" s="68"/>
    </row>
    <row r="51" spans="2:8" s="67" customFormat="1" ht="16.5" customHeight="1">
      <c r="B51" s="312" t="s">
        <v>39</v>
      </c>
      <c r="C51" s="313"/>
      <c r="D51" s="313"/>
      <c r="E51" s="313"/>
      <c r="F51" s="313"/>
      <c r="G51" s="313"/>
      <c r="H51" s="68"/>
    </row>
    <row r="52" spans="2:8" s="67" customFormat="1" ht="12" customHeight="1">
      <c r="B52" s="205" t="s">
        <v>35</v>
      </c>
      <c r="C52" s="314" t="s">
        <v>379</v>
      </c>
      <c r="D52" s="314"/>
      <c r="E52" s="314"/>
      <c r="F52" s="314"/>
      <c r="G52" s="314"/>
      <c r="H52" s="68"/>
    </row>
    <row r="53" spans="2:8" s="67" customFormat="1" ht="12.75" customHeight="1">
      <c r="B53" s="205" t="s">
        <v>177</v>
      </c>
      <c r="C53" s="314" t="s">
        <v>380</v>
      </c>
      <c r="D53" s="314"/>
      <c r="E53" s="314"/>
      <c r="F53" s="314"/>
      <c r="G53" s="314"/>
      <c r="H53" s="68"/>
    </row>
    <row r="54" spans="2:8" s="67" customFormat="1" ht="12" customHeight="1">
      <c r="B54" s="312" t="s">
        <v>118</v>
      </c>
      <c r="C54" s="313"/>
      <c r="D54" s="313"/>
      <c r="E54" s="313"/>
      <c r="F54" s="313"/>
      <c r="G54" s="313"/>
      <c r="H54" s="68"/>
    </row>
    <row r="55" spans="2:8" s="67" customFormat="1" ht="75" customHeight="1">
      <c r="B55" s="205" t="s">
        <v>26</v>
      </c>
      <c r="C55" s="314" t="s">
        <v>381</v>
      </c>
      <c r="D55" s="314"/>
      <c r="E55" s="314"/>
      <c r="F55" s="314"/>
      <c r="G55" s="314"/>
      <c r="H55" s="68"/>
    </row>
    <row r="56" spans="2:8" s="67" customFormat="1" ht="21" customHeight="1">
      <c r="B56" s="205" t="s">
        <v>44</v>
      </c>
      <c r="C56" s="314" t="s">
        <v>181</v>
      </c>
      <c r="D56" s="314"/>
      <c r="E56" s="314"/>
      <c r="F56" s="314"/>
      <c r="G56" s="314"/>
      <c r="H56" s="68"/>
    </row>
    <row r="57" spans="2:8" s="67" customFormat="1" ht="24.75" customHeight="1">
      <c r="B57" s="205" t="s">
        <v>33</v>
      </c>
      <c r="C57" s="314" t="s">
        <v>327</v>
      </c>
      <c r="D57" s="314"/>
      <c r="E57" s="314"/>
      <c r="F57" s="314"/>
      <c r="G57" s="314"/>
      <c r="H57" s="68"/>
    </row>
    <row r="58" spans="2:8" s="67" customFormat="1" ht="102.75" customHeight="1">
      <c r="B58" s="205" t="s">
        <v>46</v>
      </c>
      <c r="C58" s="314" t="s">
        <v>387</v>
      </c>
      <c r="D58" s="314"/>
      <c r="E58" s="314"/>
      <c r="F58" s="314"/>
      <c r="G58" s="314"/>
      <c r="H58" s="68"/>
    </row>
    <row r="59" spans="2:8" s="67" customFormat="1" ht="27" customHeight="1">
      <c r="B59" s="205" t="s">
        <v>117</v>
      </c>
      <c r="C59" s="314" t="s">
        <v>119</v>
      </c>
      <c r="D59" s="314"/>
      <c r="E59" s="314"/>
      <c r="F59" s="314"/>
      <c r="G59" s="314"/>
      <c r="H59" s="68"/>
    </row>
    <row r="60" spans="2:8" s="67" customFormat="1" ht="16.5" customHeight="1">
      <c r="B60" s="312" t="s">
        <v>109</v>
      </c>
      <c r="C60" s="313"/>
      <c r="D60" s="313"/>
      <c r="E60" s="313"/>
      <c r="F60" s="313"/>
      <c r="G60" s="313"/>
      <c r="H60" s="68"/>
    </row>
    <row r="61" spans="2:8" s="67" customFormat="1" ht="24" customHeight="1">
      <c r="B61" s="205" t="s">
        <v>110</v>
      </c>
      <c r="C61" s="314" t="s">
        <v>131</v>
      </c>
      <c r="D61" s="314"/>
      <c r="E61" s="314"/>
      <c r="F61" s="314"/>
      <c r="G61" s="314"/>
      <c r="H61" s="68"/>
    </row>
    <row r="62" spans="2:8" s="67" customFormat="1" ht="24" customHeight="1">
      <c r="B62" s="205" t="s">
        <v>111</v>
      </c>
      <c r="C62" s="314" t="s">
        <v>132</v>
      </c>
      <c r="D62" s="314"/>
      <c r="E62" s="314"/>
      <c r="F62" s="314"/>
      <c r="G62" s="314"/>
      <c r="H62" s="68"/>
    </row>
    <row r="63" spans="2:8" s="67" customFormat="1" ht="24" customHeight="1">
      <c r="B63" s="205" t="s">
        <v>129</v>
      </c>
      <c r="C63" s="314" t="s">
        <v>130</v>
      </c>
      <c r="D63" s="314"/>
      <c r="E63" s="314"/>
      <c r="F63" s="314"/>
      <c r="G63" s="314"/>
      <c r="H63" s="68"/>
    </row>
    <row r="64" spans="2:8" s="67" customFormat="1" ht="16.5" customHeight="1">
      <c r="B64" s="312" t="s">
        <v>112</v>
      </c>
      <c r="C64" s="313"/>
      <c r="D64" s="313"/>
      <c r="E64" s="313"/>
      <c r="F64" s="313"/>
      <c r="G64" s="313"/>
      <c r="H64" s="68"/>
    </row>
    <row r="65" spans="1:8" s="67" customFormat="1" ht="42.75" customHeight="1">
      <c r="B65" s="205" t="s">
        <v>112</v>
      </c>
      <c r="C65" s="314" t="s">
        <v>133</v>
      </c>
      <c r="D65" s="314"/>
      <c r="E65" s="314"/>
      <c r="F65" s="314"/>
      <c r="G65" s="314"/>
      <c r="H65" s="68"/>
    </row>
    <row r="66" spans="1:8" s="67" customFormat="1" ht="16.5" customHeight="1">
      <c r="B66" s="312" t="s">
        <v>40</v>
      </c>
      <c r="C66" s="313"/>
      <c r="D66" s="313"/>
      <c r="E66" s="313"/>
      <c r="F66" s="313"/>
      <c r="G66" s="313"/>
      <c r="H66" s="68"/>
    </row>
    <row r="67" spans="1:8" s="67" customFormat="1" ht="15" customHeight="1">
      <c r="B67" s="205" t="s">
        <v>27</v>
      </c>
      <c r="C67" s="314" t="s">
        <v>41</v>
      </c>
      <c r="D67" s="314"/>
      <c r="E67" s="314"/>
      <c r="F67" s="314"/>
      <c r="G67" s="314"/>
      <c r="H67" s="68"/>
    </row>
    <row r="68" spans="1:8" s="67" customFormat="1" ht="26.25" customHeight="1">
      <c r="B68" s="205" t="s">
        <v>90</v>
      </c>
      <c r="C68" s="314" t="s">
        <v>3</v>
      </c>
      <c r="D68" s="314"/>
      <c r="E68" s="314"/>
      <c r="F68" s="314"/>
      <c r="G68" s="314"/>
      <c r="H68" s="68"/>
    </row>
    <row r="69" spans="1:8" s="67" customFormat="1" ht="27.75" customHeight="1">
      <c r="B69" s="205" t="s">
        <v>28</v>
      </c>
      <c r="C69" s="314" t="s">
        <v>42</v>
      </c>
      <c r="D69" s="314"/>
      <c r="E69" s="314"/>
      <c r="F69" s="314"/>
      <c r="G69" s="314"/>
      <c r="H69" s="68"/>
    </row>
    <row r="70" spans="1:8" s="67" customFormat="1" ht="12.75" customHeight="1">
      <c r="B70" s="205" t="s">
        <v>36</v>
      </c>
      <c r="C70" s="314" t="s">
        <v>43</v>
      </c>
      <c r="D70" s="314"/>
      <c r="E70" s="314"/>
      <c r="F70" s="314"/>
      <c r="G70" s="314"/>
      <c r="H70" s="68"/>
    </row>
    <row r="71" spans="1:8" s="67" customFormat="1" ht="16.5" customHeight="1">
      <c r="B71" s="315" t="s">
        <v>122</v>
      </c>
      <c r="C71" s="316"/>
      <c r="D71" s="316"/>
      <c r="E71" s="316"/>
      <c r="F71" s="316"/>
      <c r="G71" s="316"/>
      <c r="H71" s="68"/>
    </row>
    <row r="72" spans="1:8" s="67" customFormat="1" ht="30.75" customHeight="1">
      <c r="B72" s="205" t="s">
        <v>122</v>
      </c>
      <c r="C72" s="314" t="s">
        <v>123</v>
      </c>
      <c r="D72" s="314"/>
      <c r="E72" s="314"/>
      <c r="F72" s="314"/>
      <c r="G72" s="314"/>
      <c r="H72" s="68"/>
    </row>
    <row r="73" spans="1:8" ht="12.75" customHeight="1">
      <c r="A73" s="80"/>
      <c r="B73" s="106"/>
    </row>
    <row r="74" spans="1:8" s="63" customFormat="1" ht="16.5" customHeight="1">
      <c r="B74" s="324" t="s">
        <v>63</v>
      </c>
      <c r="C74" s="324"/>
      <c r="D74" s="324"/>
      <c r="E74" s="324"/>
      <c r="F74" s="324"/>
      <c r="G74" s="324"/>
    </row>
    <row r="75" spans="1:8" s="63" customFormat="1" ht="13.5" customHeight="1">
      <c r="B75" s="87" t="s">
        <v>12</v>
      </c>
      <c r="C75" s="324" t="s">
        <v>5</v>
      </c>
      <c r="D75" s="324"/>
      <c r="E75" s="324"/>
      <c r="F75" s="324"/>
      <c r="G75" s="324"/>
    </row>
    <row r="76" spans="1:8" s="67" customFormat="1" ht="15.75" customHeight="1">
      <c r="B76" s="205" t="s">
        <v>55</v>
      </c>
      <c r="C76" s="314" t="s">
        <v>140</v>
      </c>
      <c r="D76" s="314"/>
      <c r="E76" s="314"/>
      <c r="F76" s="314"/>
      <c r="G76" s="314"/>
      <c r="H76" s="68"/>
    </row>
    <row r="77" spans="1:8" s="67" customFormat="1" ht="41.25" customHeight="1">
      <c r="B77" s="205" t="s">
        <v>101</v>
      </c>
      <c r="C77" s="314" t="s">
        <v>134</v>
      </c>
      <c r="D77" s="314"/>
      <c r="E77" s="314"/>
      <c r="F77" s="314"/>
      <c r="G77" s="314"/>
      <c r="H77" s="68"/>
    </row>
    <row r="78" spans="1:8" s="67" customFormat="1" ht="114" customHeight="1">
      <c r="B78" s="205" t="s">
        <v>93</v>
      </c>
      <c r="C78" s="314" t="s">
        <v>382</v>
      </c>
      <c r="D78" s="314"/>
      <c r="E78" s="314"/>
      <c r="F78" s="314"/>
      <c r="G78" s="314"/>
      <c r="H78" s="68"/>
    </row>
    <row r="79" spans="1:8" s="67" customFormat="1" ht="113.25" customHeight="1">
      <c r="B79" s="205" t="s">
        <v>94</v>
      </c>
      <c r="C79" s="314" t="s">
        <v>389</v>
      </c>
      <c r="D79" s="314"/>
      <c r="E79" s="314"/>
      <c r="F79" s="314"/>
      <c r="G79" s="314"/>
      <c r="H79" s="68"/>
    </row>
    <row r="80" spans="1:8" s="67" customFormat="1" ht="174" customHeight="1">
      <c r="B80" s="205" t="s">
        <v>95</v>
      </c>
      <c r="C80" s="314" t="s">
        <v>388</v>
      </c>
      <c r="D80" s="314"/>
      <c r="E80" s="314"/>
      <c r="F80" s="314"/>
      <c r="G80" s="314"/>
      <c r="H80" s="68"/>
    </row>
    <row r="81" spans="1:8" s="67" customFormat="1" ht="14.25" customHeight="1">
      <c r="B81" s="205" t="s">
        <v>96</v>
      </c>
      <c r="C81" s="314" t="s">
        <v>1</v>
      </c>
      <c r="D81" s="314"/>
      <c r="E81" s="314"/>
      <c r="F81" s="314"/>
      <c r="G81" s="314"/>
      <c r="H81" s="68"/>
    </row>
    <row r="82" spans="1:8" s="67" customFormat="1" ht="36" customHeight="1">
      <c r="B82" s="205" t="s">
        <v>83</v>
      </c>
      <c r="C82" s="314" t="s">
        <v>2</v>
      </c>
      <c r="D82" s="314"/>
      <c r="E82" s="314"/>
      <c r="F82" s="314"/>
      <c r="G82" s="314"/>
      <c r="H82" s="63"/>
    </row>
    <row r="83" spans="1:8" s="67" customFormat="1" ht="16.5" customHeight="1">
      <c r="B83" s="205" t="s">
        <v>102</v>
      </c>
      <c r="C83" s="314" t="s">
        <v>0</v>
      </c>
      <c r="D83" s="314"/>
      <c r="E83" s="314"/>
      <c r="F83" s="314"/>
      <c r="G83" s="314"/>
      <c r="H83" s="63"/>
    </row>
    <row r="84" spans="1:8" s="67" customFormat="1" ht="20.25" customHeight="1">
      <c r="B84" s="158"/>
      <c r="C84" s="159"/>
      <c r="D84" s="160"/>
      <c r="E84" s="160"/>
      <c r="F84" s="160"/>
      <c r="G84" s="160"/>
      <c r="H84" s="63"/>
    </row>
    <row r="85" spans="1:8" ht="12.75" customHeight="1">
      <c r="A85" s="80"/>
      <c r="B85" s="324" t="s">
        <v>330</v>
      </c>
      <c r="C85" s="324"/>
      <c r="D85" s="324"/>
      <c r="E85" s="324"/>
      <c r="F85" s="324"/>
      <c r="G85" s="324"/>
      <c r="H85" s="63"/>
    </row>
    <row r="86" spans="1:8" s="63" customFormat="1" ht="16.5" customHeight="1">
      <c r="B86" s="324" t="s">
        <v>331</v>
      </c>
      <c r="C86" s="324"/>
      <c r="D86" s="324"/>
      <c r="E86" s="324"/>
      <c r="F86" s="324"/>
      <c r="G86" s="324"/>
    </row>
    <row r="87" spans="1:8" s="63" customFormat="1" ht="13.5" customHeight="1">
      <c r="B87" s="87" t="s">
        <v>12</v>
      </c>
      <c r="C87" s="324" t="s">
        <v>5</v>
      </c>
      <c r="D87" s="324"/>
      <c r="E87" s="324"/>
      <c r="F87" s="324"/>
      <c r="G87" s="324"/>
    </row>
    <row r="88" spans="1:8" s="67" customFormat="1" ht="12.75" customHeight="1">
      <c r="B88" s="205" t="s">
        <v>29</v>
      </c>
      <c r="C88" s="314" t="s">
        <v>67</v>
      </c>
      <c r="D88" s="314"/>
      <c r="E88" s="314"/>
      <c r="F88" s="314"/>
      <c r="G88" s="314"/>
      <c r="H88" s="63"/>
    </row>
    <row r="89" spans="1:8" ht="12" customHeight="1">
      <c r="A89" s="80"/>
      <c r="B89" s="205" t="s">
        <v>47</v>
      </c>
      <c r="C89" s="314" t="s">
        <v>68</v>
      </c>
      <c r="D89" s="314"/>
      <c r="E89" s="314"/>
      <c r="F89" s="314"/>
      <c r="G89" s="314"/>
      <c r="H89" s="63"/>
    </row>
    <row r="90" spans="1:8" s="63" customFormat="1" ht="16.5" customHeight="1">
      <c r="B90" s="324" t="s">
        <v>332</v>
      </c>
      <c r="C90" s="324"/>
      <c r="D90" s="324"/>
      <c r="E90" s="324"/>
      <c r="F90" s="324"/>
      <c r="G90" s="324"/>
    </row>
    <row r="91" spans="1:8" s="63" customFormat="1" ht="13.5" customHeight="1">
      <c r="B91" s="87" t="s">
        <v>12</v>
      </c>
      <c r="C91" s="324" t="s">
        <v>5</v>
      </c>
      <c r="D91" s="324"/>
      <c r="E91" s="324"/>
      <c r="F91" s="324"/>
      <c r="G91" s="324"/>
    </row>
    <row r="92" spans="1:8" s="67" customFormat="1" ht="12.75" customHeight="1">
      <c r="B92" s="205" t="s">
        <v>4</v>
      </c>
      <c r="C92" s="314" t="s">
        <v>69</v>
      </c>
      <c r="D92" s="314"/>
      <c r="E92" s="314"/>
      <c r="F92" s="314"/>
      <c r="G92" s="314"/>
      <c r="H92" s="68"/>
    </row>
    <row r="93" spans="1:8">
      <c r="A93" s="80"/>
      <c r="B93" s="205" t="s">
        <v>32</v>
      </c>
      <c r="C93" s="314" t="s">
        <v>70</v>
      </c>
      <c r="D93" s="314"/>
      <c r="E93" s="314"/>
      <c r="F93" s="314"/>
      <c r="G93" s="314"/>
    </row>
    <row r="94" spans="1:8" s="67" customFormat="1" ht="12.75" customHeight="1">
      <c r="B94" s="205" t="s">
        <v>20</v>
      </c>
      <c r="C94" s="314" t="s">
        <v>71</v>
      </c>
      <c r="D94" s="314"/>
      <c r="E94" s="314"/>
      <c r="F94" s="314"/>
      <c r="G94" s="314"/>
      <c r="H94" s="68"/>
    </row>
    <row r="95" spans="1:8" s="67" customFormat="1" ht="12.75" customHeight="1">
      <c r="B95" s="205" t="s">
        <v>21</v>
      </c>
      <c r="C95" s="314" t="s">
        <v>72</v>
      </c>
      <c r="D95" s="314"/>
      <c r="E95" s="314"/>
      <c r="F95" s="314"/>
      <c r="G95" s="314"/>
      <c r="H95" s="68"/>
    </row>
    <row r="96" spans="1:8">
      <c r="A96" s="80"/>
      <c r="B96" s="205" t="s">
        <v>6</v>
      </c>
      <c r="C96" s="314" t="s">
        <v>73</v>
      </c>
      <c r="D96" s="314"/>
      <c r="E96" s="314"/>
      <c r="F96" s="314"/>
      <c r="G96" s="314"/>
    </row>
    <row r="97" spans="1:8" s="67" customFormat="1" ht="12.75" customHeight="1">
      <c r="B97" s="205" t="s">
        <v>7</v>
      </c>
      <c r="C97" s="314" t="s">
        <v>74</v>
      </c>
      <c r="D97" s="314"/>
      <c r="E97" s="314"/>
      <c r="F97" s="314"/>
      <c r="G97" s="314"/>
      <c r="H97" s="68"/>
    </row>
    <row r="98" spans="1:8">
      <c r="A98" s="80"/>
      <c r="B98" s="205" t="s">
        <v>22</v>
      </c>
      <c r="C98" s="314" t="s">
        <v>75</v>
      </c>
      <c r="D98" s="314"/>
      <c r="E98" s="314"/>
      <c r="F98" s="314"/>
      <c r="G98" s="314"/>
    </row>
    <row r="99" spans="1:8" s="63" customFormat="1" ht="16.5" customHeight="1">
      <c r="B99" s="324" t="s">
        <v>333</v>
      </c>
      <c r="C99" s="324"/>
      <c r="D99" s="324"/>
      <c r="E99" s="324"/>
      <c r="F99" s="324"/>
      <c r="G99" s="324"/>
    </row>
    <row r="100" spans="1:8" s="63" customFormat="1" ht="13.5" customHeight="1">
      <c r="B100" s="192" t="s">
        <v>12</v>
      </c>
      <c r="C100" s="335" t="s">
        <v>5</v>
      </c>
      <c r="D100" s="335"/>
      <c r="E100" s="335"/>
      <c r="F100" s="335"/>
      <c r="G100" s="335"/>
    </row>
    <row r="101" spans="1:8" s="67" customFormat="1" ht="12.75" customHeight="1">
      <c r="B101" s="205" t="s">
        <v>4</v>
      </c>
      <c r="C101" s="314" t="s">
        <v>69</v>
      </c>
      <c r="D101" s="314"/>
      <c r="E101" s="314"/>
      <c r="F101" s="314"/>
      <c r="G101" s="314"/>
      <c r="H101" s="68"/>
    </row>
    <row r="102" spans="1:8">
      <c r="A102" s="80"/>
      <c r="B102" s="205" t="s">
        <v>16</v>
      </c>
      <c r="C102" s="314" t="s">
        <v>76</v>
      </c>
      <c r="D102" s="314"/>
      <c r="E102" s="314"/>
      <c r="F102" s="314"/>
      <c r="G102" s="314"/>
    </row>
    <row r="103" spans="1:8" ht="12.75" customHeight="1">
      <c r="A103" s="80"/>
      <c r="B103" s="107"/>
      <c r="H103" s="89"/>
    </row>
    <row r="104" spans="1:8">
      <c r="A104" s="80"/>
      <c r="B104" s="329" t="s">
        <v>183</v>
      </c>
      <c r="C104" s="329"/>
      <c r="D104" s="329"/>
      <c r="E104" s="329"/>
      <c r="F104" s="329"/>
      <c r="G104" s="329"/>
      <c r="H104" s="89"/>
    </row>
    <row r="105" spans="1:8" ht="12.75" customHeight="1">
      <c r="A105" s="80"/>
      <c r="B105" s="193" t="s">
        <v>12</v>
      </c>
      <c r="C105" s="330" t="s">
        <v>5</v>
      </c>
      <c r="D105" s="330"/>
      <c r="E105" s="330"/>
      <c r="F105" s="330"/>
      <c r="G105" s="330"/>
      <c r="H105" s="89"/>
    </row>
    <row r="106" spans="1:8">
      <c r="A106" s="80"/>
      <c r="B106" s="331" t="s">
        <v>184</v>
      </c>
      <c r="C106" s="332"/>
      <c r="D106" s="332"/>
      <c r="E106" s="332"/>
      <c r="F106" s="332"/>
      <c r="G106" s="332"/>
      <c r="H106" s="89"/>
    </row>
    <row r="107" spans="1:8" ht="12" customHeight="1">
      <c r="A107" s="80"/>
      <c r="B107" s="205" t="s">
        <v>185</v>
      </c>
      <c r="C107" s="314" t="s">
        <v>186</v>
      </c>
      <c r="D107" s="314"/>
      <c r="E107" s="314"/>
      <c r="F107" s="314"/>
      <c r="G107" s="314"/>
      <c r="H107" s="89"/>
    </row>
    <row r="108" spans="1:8" ht="12.75" customHeight="1">
      <c r="A108" s="80"/>
      <c r="B108" s="205" t="s">
        <v>187</v>
      </c>
      <c r="C108" s="314" t="s">
        <v>188</v>
      </c>
      <c r="D108" s="314"/>
      <c r="E108" s="314"/>
      <c r="F108" s="314"/>
      <c r="G108" s="314"/>
      <c r="H108" s="89"/>
    </row>
    <row r="109" spans="1:8" ht="12.75" customHeight="1">
      <c r="A109" s="80"/>
      <c r="B109" s="338" t="s">
        <v>189</v>
      </c>
      <c r="C109" s="339"/>
      <c r="D109" s="339"/>
      <c r="E109" s="339"/>
      <c r="F109" s="339"/>
      <c r="G109" s="339"/>
      <c r="H109" s="89"/>
    </row>
    <row r="110" spans="1:8" ht="12.75" customHeight="1">
      <c r="A110" s="80"/>
      <c r="B110" s="205" t="s">
        <v>13</v>
      </c>
      <c r="C110" s="314" t="s">
        <v>190</v>
      </c>
      <c r="D110" s="314"/>
      <c r="E110" s="314"/>
      <c r="F110" s="314"/>
      <c r="G110" s="314"/>
      <c r="H110" s="89"/>
    </row>
    <row r="111" spans="1:8" ht="17.25" customHeight="1">
      <c r="A111" s="83"/>
      <c r="B111" s="205" t="s">
        <v>218</v>
      </c>
      <c r="C111" s="314" t="s">
        <v>219</v>
      </c>
      <c r="D111" s="314"/>
      <c r="E111" s="314"/>
      <c r="F111" s="314"/>
      <c r="G111" s="314"/>
      <c r="H111" s="89"/>
    </row>
    <row r="112" spans="1:8" ht="12" customHeight="1">
      <c r="A112" s="83"/>
      <c r="B112" s="205" t="s">
        <v>148</v>
      </c>
      <c r="C112" s="314" t="s">
        <v>191</v>
      </c>
      <c r="D112" s="314"/>
      <c r="E112" s="314"/>
      <c r="F112" s="314"/>
      <c r="G112" s="314"/>
      <c r="H112" s="89"/>
    </row>
    <row r="113" spans="1:8" ht="24" customHeight="1">
      <c r="A113" s="83"/>
      <c r="B113" s="205" t="s">
        <v>149</v>
      </c>
      <c r="C113" s="314" t="s">
        <v>192</v>
      </c>
      <c r="D113" s="314"/>
      <c r="E113" s="314"/>
      <c r="F113" s="314"/>
      <c r="G113" s="314"/>
      <c r="H113" s="89"/>
    </row>
    <row r="114" spans="1:8" ht="12" customHeight="1">
      <c r="A114" s="83"/>
      <c r="B114" s="205" t="s">
        <v>150</v>
      </c>
      <c r="C114" s="314" t="s">
        <v>193</v>
      </c>
      <c r="D114" s="314"/>
      <c r="E114" s="314"/>
      <c r="F114" s="314"/>
      <c r="G114" s="314"/>
      <c r="H114" s="89"/>
    </row>
    <row r="115" spans="1:8" ht="24" customHeight="1">
      <c r="A115" s="83"/>
      <c r="B115" s="205" t="s">
        <v>164</v>
      </c>
      <c r="C115" s="314" t="s">
        <v>194</v>
      </c>
      <c r="D115" s="314"/>
      <c r="E115" s="314"/>
      <c r="F115" s="314"/>
      <c r="G115" s="314"/>
      <c r="H115" s="89"/>
    </row>
    <row r="116" spans="1:8" ht="24" customHeight="1">
      <c r="A116" s="83"/>
      <c r="B116" s="205" t="s">
        <v>153</v>
      </c>
      <c r="C116" s="314" t="s">
        <v>195</v>
      </c>
      <c r="D116" s="314"/>
      <c r="E116" s="314"/>
      <c r="F116" s="314"/>
      <c r="G116" s="314"/>
      <c r="H116" s="89"/>
    </row>
    <row r="117" spans="1:8" ht="12" customHeight="1">
      <c r="A117" s="83"/>
      <c r="B117" s="205" t="s">
        <v>147</v>
      </c>
      <c r="C117" s="314" t="s">
        <v>220</v>
      </c>
      <c r="D117" s="314"/>
      <c r="E117" s="314"/>
      <c r="F117" s="314"/>
      <c r="G117" s="314"/>
      <c r="H117" s="89"/>
    </row>
    <row r="118" spans="1:8" ht="20.25" customHeight="1">
      <c r="A118" s="83"/>
      <c r="B118" s="90"/>
      <c r="C118" s="340"/>
      <c r="D118" s="341"/>
      <c r="E118" s="341"/>
      <c r="F118" s="341"/>
      <c r="G118" s="341"/>
      <c r="H118" s="89"/>
    </row>
    <row r="119" spans="1:8" ht="15.75" customHeight="1">
      <c r="A119" s="83"/>
      <c r="B119" s="329" t="s">
        <v>196</v>
      </c>
      <c r="C119" s="329"/>
      <c r="D119" s="329"/>
      <c r="E119" s="329"/>
      <c r="F119" s="329"/>
      <c r="G119" s="329"/>
      <c r="H119" s="89"/>
    </row>
    <row r="120" spans="1:8">
      <c r="A120" s="83"/>
      <c r="B120" s="193" t="s">
        <v>12</v>
      </c>
      <c r="C120" s="330" t="s">
        <v>5</v>
      </c>
      <c r="D120" s="330"/>
      <c r="E120" s="330"/>
      <c r="F120" s="330"/>
      <c r="G120" s="330"/>
      <c r="H120" s="89"/>
    </row>
    <row r="121" spans="1:8" ht="15.75" customHeight="1">
      <c r="A121" s="83"/>
      <c r="B121" s="331" t="s">
        <v>184</v>
      </c>
      <c r="C121" s="332"/>
      <c r="D121" s="332"/>
      <c r="E121" s="332"/>
      <c r="F121" s="332"/>
      <c r="G121" s="332"/>
      <c r="H121" s="89"/>
    </row>
    <row r="122" spans="1:8" ht="30.75" customHeight="1">
      <c r="A122" s="83"/>
      <c r="B122" s="205" t="s">
        <v>185</v>
      </c>
      <c r="C122" s="314" t="s">
        <v>186</v>
      </c>
      <c r="D122" s="314"/>
      <c r="E122" s="314"/>
      <c r="F122" s="314"/>
      <c r="G122" s="314"/>
      <c r="H122" s="89"/>
    </row>
    <row r="123" spans="1:8">
      <c r="A123" s="83"/>
      <c r="B123" s="205" t="s">
        <v>187</v>
      </c>
      <c r="C123" s="314" t="s">
        <v>188</v>
      </c>
      <c r="D123" s="314"/>
      <c r="E123" s="314"/>
      <c r="F123" s="314"/>
      <c r="G123" s="314"/>
      <c r="H123" s="89"/>
    </row>
    <row r="124" spans="1:8">
      <c r="A124" s="83"/>
      <c r="B124" s="331" t="s">
        <v>189</v>
      </c>
      <c r="C124" s="332"/>
      <c r="D124" s="332"/>
      <c r="E124" s="332"/>
      <c r="F124" s="332"/>
      <c r="G124" s="332"/>
      <c r="H124" s="89"/>
    </row>
    <row r="125" spans="1:8" ht="12" customHeight="1">
      <c r="A125" s="83"/>
      <c r="B125" s="205" t="s">
        <v>13</v>
      </c>
      <c r="C125" s="314" t="s">
        <v>197</v>
      </c>
      <c r="D125" s="314"/>
      <c r="E125" s="314"/>
      <c r="F125" s="314"/>
      <c r="G125" s="314"/>
      <c r="H125" s="89"/>
    </row>
    <row r="126" spans="1:8" ht="27.75" customHeight="1">
      <c r="A126" s="83"/>
      <c r="B126" s="205" t="s">
        <v>148</v>
      </c>
      <c r="C126" s="314" t="s">
        <v>198</v>
      </c>
      <c r="D126" s="314"/>
      <c r="E126" s="314"/>
      <c r="F126" s="314"/>
      <c r="G126" s="314"/>
      <c r="H126" s="89"/>
    </row>
    <row r="127" spans="1:8" ht="18" customHeight="1">
      <c r="A127" s="83"/>
      <c r="B127" s="205" t="s">
        <v>157</v>
      </c>
      <c r="C127" s="314" t="s">
        <v>199</v>
      </c>
      <c r="D127" s="314"/>
      <c r="E127" s="314"/>
      <c r="F127" s="314"/>
      <c r="G127" s="314"/>
      <c r="H127" s="89"/>
    </row>
    <row r="128" spans="1:8" ht="24" customHeight="1">
      <c r="A128" s="83"/>
      <c r="B128" s="205" t="s">
        <v>158</v>
      </c>
      <c r="C128" s="314" t="s">
        <v>200</v>
      </c>
      <c r="D128" s="314"/>
      <c r="E128" s="314"/>
      <c r="F128" s="314"/>
      <c r="G128" s="314"/>
      <c r="H128" s="89"/>
    </row>
    <row r="129" spans="1:8" ht="41.25" customHeight="1">
      <c r="A129" s="83"/>
      <c r="B129" s="205" t="s">
        <v>159</v>
      </c>
      <c r="C129" s="314" t="s">
        <v>201</v>
      </c>
      <c r="D129" s="314"/>
      <c r="E129" s="314"/>
      <c r="F129" s="314"/>
      <c r="G129" s="314"/>
      <c r="H129" s="89"/>
    </row>
    <row r="130" spans="1:8" ht="39" customHeight="1">
      <c r="A130" s="83"/>
      <c r="B130" s="205" t="s">
        <v>160</v>
      </c>
      <c r="C130" s="314" t="s">
        <v>390</v>
      </c>
      <c r="D130" s="314"/>
      <c r="E130" s="314"/>
      <c r="F130" s="314"/>
      <c r="G130" s="314"/>
      <c r="H130" s="89"/>
    </row>
    <row r="131" spans="1:8" ht="17.25" customHeight="1">
      <c r="A131" s="83"/>
      <c r="B131" s="205" t="s">
        <v>161</v>
      </c>
      <c r="C131" s="314" t="s">
        <v>202</v>
      </c>
      <c r="D131" s="314"/>
      <c r="E131" s="314"/>
      <c r="F131" s="314"/>
      <c r="G131" s="314"/>
      <c r="H131" s="89"/>
    </row>
    <row r="132" spans="1:8" ht="82.5" customHeight="1">
      <c r="A132" s="83"/>
      <c r="B132" s="205" t="s">
        <v>162</v>
      </c>
      <c r="C132" s="314" t="s">
        <v>392</v>
      </c>
      <c r="D132" s="314"/>
      <c r="E132" s="314"/>
      <c r="F132" s="314"/>
      <c r="G132" s="314"/>
      <c r="H132" s="89"/>
    </row>
    <row r="133" spans="1:8" ht="36" customHeight="1">
      <c r="A133" s="83"/>
      <c r="B133" s="205" t="s">
        <v>163</v>
      </c>
      <c r="C133" s="314" t="s">
        <v>203</v>
      </c>
      <c r="D133" s="314"/>
      <c r="E133" s="314"/>
      <c r="F133" s="314"/>
      <c r="G133" s="314"/>
      <c r="H133" s="89"/>
    </row>
    <row r="134" spans="1:8" ht="118.5" customHeight="1">
      <c r="A134" s="83"/>
      <c r="B134" s="205" t="s">
        <v>151</v>
      </c>
      <c r="C134" s="314" t="s">
        <v>204</v>
      </c>
      <c r="D134" s="314"/>
      <c r="E134" s="314"/>
      <c r="F134" s="314"/>
      <c r="G134" s="314"/>
      <c r="H134" s="89"/>
    </row>
    <row r="135" spans="1:8" ht="23.25" customHeight="1">
      <c r="A135" s="83"/>
      <c r="B135" s="205" t="s">
        <v>164</v>
      </c>
      <c r="C135" s="314" t="s">
        <v>205</v>
      </c>
      <c r="D135" s="314"/>
      <c r="E135" s="314"/>
      <c r="F135" s="314"/>
      <c r="G135" s="314"/>
      <c r="H135" s="89"/>
    </row>
    <row r="136" spans="1:8" ht="12" customHeight="1">
      <c r="A136" s="83"/>
      <c r="B136" s="205" t="s">
        <v>165</v>
      </c>
      <c r="C136" s="314" t="s">
        <v>206</v>
      </c>
      <c r="D136" s="314"/>
      <c r="E136" s="314"/>
      <c r="F136" s="314"/>
      <c r="G136" s="314"/>
      <c r="H136" s="89"/>
    </row>
    <row r="137" spans="1:8" ht="24" customHeight="1">
      <c r="A137" s="83"/>
      <c r="B137" s="205" t="s">
        <v>153</v>
      </c>
      <c r="C137" s="314" t="s">
        <v>207</v>
      </c>
      <c r="D137" s="314"/>
      <c r="E137" s="314"/>
      <c r="F137" s="314"/>
      <c r="G137" s="314"/>
      <c r="H137" s="89"/>
    </row>
    <row r="138" spans="1:8" ht="12" customHeight="1">
      <c r="A138" s="83"/>
      <c r="B138" s="205" t="s">
        <v>166</v>
      </c>
      <c r="C138" s="314" t="s">
        <v>208</v>
      </c>
      <c r="D138" s="314"/>
      <c r="E138" s="314"/>
      <c r="F138" s="314"/>
      <c r="G138" s="314"/>
      <c r="H138" s="89"/>
    </row>
    <row r="139" spans="1:8" ht="18.75" customHeight="1">
      <c r="A139" s="83"/>
      <c r="B139" s="108"/>
      <c r="C139" s="85"/>
      <c r="D139" s="85"/>
      <c r="E139" s="85"/>
      <c r="F139" s="85"/>
      <c r="G139" s="85"/>
      <c r="H139" s="89"/>
    </row>
    <row r="140" spans="1:8" ht="18.75" customHeight="1">
      <c r="A140" s="83"/>
      <c r="B140" s="329" t="s">
        <v>209</v>
      </c>
      <c r="C140" s="329"/>
      <c r="D140" s="329"/>
      <c r="E140" s="329"/>
      <c r="F140" s="329"/>
      <c r="G140" s="329"/>
      <c r="H140" s="89"/>
    </row>
    <row r="141" spans="1:8">
      <c r="A141" s="83"/>
      <c r="B141" s="193" t="s">
        <v>12</v>
      </c>
      <c r="C141" s="330" t="s">
        <v>5</v>
      </c>
      <c r="D141" s="330"/>
      <c r="E141" s="330"/>
      <c r="F141" s="330"/>
      <c r="G141" s="330"/>
      <c r="H141" s="89"/>
    </row>
    <row r="142" spans="1:8" ht="11.25" customHeight="1">
      <c r="A142" s="83"/>
      <c r="B142" s="331" t="s">
        <v>184</v>
      </c>
      <c r="C142" s="332"/>
      <c r="D142" s="332"/>
      <c r="E142" s="332"/>
      <c r="F142" s="332"/>
      <c r="G142" s="332"/>
      <c r="H142" s="89"/>
    </row>
    <row r="143" spans="1:8" ht="18.75" customHeight="1">
      <c r="A143" s="83"/>
      <c r="B143" s="205" t="s">
        <v>185</v>
      </c>
      <c r="C143" s="314" t="s">
        <v>186</v>
      </c>
      <c r="D143" s="314"/>
      <c r="E143" s="314"/>
      <c r="F143" s="314"/>
      <c r="G143" s="314"/>
      <c r="H143" s="89"/>
    </row>
    <row r="144" spans="1:8" ht="18.75" customHeight="1">
      <c r="A144" s="83"/>
      <c r="B144" s="205" t="s">
        <v>187</v>
      </c>
      <c r="C144" s="314" t="s">
        <v>188</v>
      </c>
      <c r="D144" s="314"/>
      <c r="E144" s="314"/>
      <c r="F144" s="314"/>
      <c r="G144" s="314"/>
      <c r="H144" s="89"/>
    </row>
    <row r="145" spans="1:8" ht="12.75" customHeight="1">
      <c r="A145" s="83"/>
      <c r="B145" s="331" t="s">
        <v>189</v>
      </c>
      <c r="C145" s="332"/>
      <c r="D145" s="332"/>
      <c r="E145" s="332"/>
      <c r="F145" s="332"/>
      <c r="G145" s="332"/>
      <c r="H145" s="89"/>
    </row>
    <row r="146" spans="1:8" ht="18.75" customHeight="1">
      <c r="A146" s="83"/>
      <c r="B146" s="205" t="s">
        <v>13</v>
      </c>
      <c r="C146" s="314" t="s">
        <v>197</v>
      </c>
      <c r="D146" s="314"/>
      <c r="E146" s="314"/>
      <c r="F146" s="314"/>
      <c r="G146" s="314"/>
      <c r="H146" s="89"/>
    </row>
    <row r="147" spans="1:8" ht="18.75" customHeight="1">
      <c r="A147" s="83"/>
      <c r="B147" s="205" t="s">
        <v>221</v>
      </c>
      <c r="C147" s="314" t="s">
        <v>210</v>
      </c>
      <c r="D147" s="314"/>
      <c r="E147" s="314"/>
      <c r="F147" s="314"/>
      <c r="G147" s="314"/>
      <c r="H147" s="89"/>
    </row>
    <row r="148" spans="1:8" ht="29.25" customHeight="1">
      <c r="A148" s="83"/>
      <c r="B148" s="205" t="s">
        <v>172</v>
      </c>
      <c r="C148" s="314" t="s">
        <v>211</v>
      </c>
      <c r="D148" s="314"/>
      <c r="E148" s="314"/>
      <c r="F148" s="314"/>
      <c r="G148" s="314"/>
      <c r="H148" s="89"/>
    </row>
    <row r="149" spans="1:8" ht="18.75" customHeight="1">
      <c r="A149" s="83"/>
      <c r="B149" s="205" t="s">
        <v>165</v>
      </c>
      <c r="C149" s="314" t="s">
        <v>206</v>
      </c>
      <c r="D149" s="314"/>
      <c r="E149" s="314"/>
      <c r="F149" s="314"/>
      <c r="G149" s="314"/>
      <c r="H149" s="89"/>
    </row>
    <row r="150" spans="1:8" ht="39" customHeight="1">
      <c r="A150" s="83"/>
      <c r="B150" s="205" t="s">
        <v>151</v>
      </c>
      <c r="C150" s="314" t="s">
        <v>212</v>
      </c>
      <c r="D150" s="314"/>
      <c r="E150" s="314"/>
      <c r="F150" s="314"/>
      <c r="G150" s="314"/>
      <c r="H150" s="89"/>
    </row>
    <row r="151" spans="1:8" ht="28.5" customHeight="1">
      <c r="A151" s="83"/>
      <c r="B151" s="205" t="s">
        <v>213</v>
      </c>
      <c r="C151" s="314" t="s">
        <v>205</v>
      </c>
      <c r="D151" s="314"/>
      <c r="E151" s="314"/>
      <c r="F151" s="314"/>
      <c r="G151" s="314"/>
      <c r="H151" s="89"/>
    </row>
    <row r="152" spans="1:8" ht="20.25" customHeight="1">
      <c r="A152" s="83"/>
      <c r="B152" s="205" t="s">
        <v>173</v>
      </c>
      <c r="C152" s="314" t="s">
        <v>214</v>
      </c>
      <c r="D152" s="314"/>
      <c r="E152" s="314"/>
      <c r="F152" s="314"/>
      <c r="G152" s="314"/>
      <c r="H152" s="89"/>
    </row>
    <row r="153" spans="1:8" ht="18.75" customHeight="1">
      <c r="A153" s="83"/>
      <c r="B153" s="93"/>
      <c r="C153" s="85"/>
      <c r="D153" s="91"/>
      <c r="E153" s="91"/>
      <c r="F153" s="91"/>
      <c r="G153" s="91"/>
      <c r="H153" s="89"/>
    </row>
    <row r="154" spans="1:8" ht="18.75" customHeight="1">
      <c r="A154" s="83"/>
      <c r="B154" s="329" t="s">
        <v>391</v>
      </c>
      <c r="C154" s="329"/>
      <c r="D154" s="329"/>
      <c r="E154" s="329"/>
      <c r="F154" s="329"/>
      <c r="G154" s="329"/>
      <c r="H154" s="89"/>
    </row>
    <row r="155" spans="1:8" ht="12.75" customHeight="1">
      <c r="A155" s="83"/>
      <c r="B155" s="193" t="s">
        <v>12</v>
      </c>
      <c r="C155" s="330" t="s">
        <v>5</v>
      </c>
      <c r="D155" s="330"/>
      <c r="E155" s="330"/>
      <c r="F155" s="330"/>
      <c r="G155" s="330"/>
      <c r="H155" s="89"/>
    </row>
    <row r="156" spans="1:8" ht="12.75" customHeight="1">
      <c r="A156" s="83"/>
      <c r="B156" s="331" t="s">
        <v>184</v>
      </c>
      <c r="C156" s="332"/>
      <c r="D156" s="332"/>
      <c r="E156" s="332"/>
      <c r="F156" s="332"/>
      <c r="G156" s="332"/>
      <c r="H156" s="89"/>
    </row>
    <row r="157" spans="1:8" ht="15.75" customHeight="1">
      <c r="A157" s="83"/>
      <c r="B157" s="205" t="s">
        <v>185</v>
      </c>
      <c r="C157" s="314" t="s">
        <v>186</v>
      </c>
      <c r="D157" s="314"/>
      <c r="E157" s="314"/>
      <c r="F157" s="314"/>
      <c r="G157" s="314"/>
      <c r="H157" s="89"/>
    </row>
    <row r="158" spans="1:8" ht="16.5" customHeight="1">
      <c r="A158" s="83"/>
      <c r="B158" s="205" t="s">
        <v>187</v>
      </c>
      <c r="C158" s="314" t="s">
        <v>188</v>
      </c>
      <c r="D158" s="314"/>
      <c r="E158" s="314"/>
      <c r="F158" s="314"/>
      <c r="G158" s="314"/>
      <c r="H158" s="89"/>
    </row>
    <row r="159" spans="1:8" ht="11.25" customHeight="1">
      <c r="A159" s="83"/>
      <c r="B159" s="331" t="s">
        <v>189</v>
      </c>
      <c r="C159" s="332"/>
      <c r="D159" s="332"/>
      <c r="E159" s="332"/>
      <c r="F159" s="332"/>
      <c r="G159" s="332"/>
      <c r="H159" s="89"/>
    </row>
    <row r="160" spans="1:8" ht="17.25" customHeight="1">
      <c r="A160" s="83"/>
      <c r="B160" s="205" t="s">
        <v>174</v>
      </c>
      <c r="C160" s="314" t="s">
        <v>215</v>
      </c>
      <c r="D160" s="314"/>
      <c r="E160" s="314"/>
      <c r="F160" s="314"/>
      <c r="G160" s="314"/>
      <c r="H160" s="89"/>
    </row>
    <row r="161" spans="1:8" ht="24.75" customHeight="1">
      <c r="A161" s="83"/>
      <c r="B161" s="205" t="s">
        <v>175</v>
      </c>
      <c r="C161" s="314" t="s">
        <v>216</v>
      </c>
      <c r="D161" s="314"/>
      <c r="E161" s="314"/>
      <c r="F161" s="314"/>
      <c r="G161" s="314"/>
      <c r="H161" s="89"/>
    </row>
    <row r="162" spans="1:8" ht="15.75" customHeight="1">
      <c r="A162" s="83"/>
      <c r="B162" s="205" t="s">
        <v>176</v>
      </c>
      <c r="C162" s="314" t="s">
        <v>217</v>
      </c>
      <c r="D162" s="314"/>
      <c r="E162" s="314"/>
      <c r="F162" s="314"/>
      <c r="G162" s="314"/>
      <c r="H162" s="89"/>
    </row>
    <row r="163" spans="1:8" ht="18.75" customHeight="1">
      <c r="A163" s="83"/>
      <c r="B163" s="93"/>
      <c r="C163" s="85"/>
      <c r="D163" s="95"/>
      <c r="E163" s="95"/>
      <c r="F163" s="95"/>
      <c r="G163" s="95"/>
      <c r="H163" s="89"/>
    </row>
    <row r="164" spans="1:8" ht="18.75" customHeight="1">
      <c r="A164" s="83"/>
      <c r="B164" s="93"/>
      <c r="C164" s="85"/>
      <c r="D164" s="95"/>
      <c r="E164" s="95"/>
      <c r="F164" s="95"/>
      <c r="G164" s="95"/>
      <c r="H164" s="89"/>
    </row>
    <row r="165" spans="1:8" ht="18.75" customHeight="1">
      <c r="A165" s="83"/>
      <c r="B165" s="93"/>
      <c r="C165" s="85"/>
      <c r="D165" s="95"/>
      <c r="E165" s="95"/>
      <c r="F165" s="95"/>
      <c r="G165" s="95"/>
      <c r="H165" s="89"/>
    </row>
    <row r="166" spans="1:8" ht="18.75" customHeight="1">
      <c r="A166" s="83"/>
      <c r="B166" s="93"/>
      <c r="C166" s="85"/>
      <c r="D166" s="95"/>
      <c r="E166" s="95"/>
      <c r="F166" s="95"/>
      <c r="G166" s="95"/>
      <c r="H166" s="89"/>
    </row>
    <row r="167" spans="1:8" ht="18" customHeight="1">
      <c r="A167" s="83"/>
      <c r="B167" s="93"/>
      <c r="C167" s="85"/>
      <c r="D167" s="95"/>
      <c r="E167" s="95"/>
      <c r="F167" s="95"/>
      <c r="G167" s="95"/>
      <c r="H167" s="89"/>
    </row>
    <row r="168" spans="1:8" ht="18" customHeight="1">
      <c r="A168" s="83"/>
      <c r="B168" s="93"/>
      <c r="C168" s="85"/>
      <c r="D168" s="94"/>
      <c r="E168" s="94"/>
      <c r="F168" s="94"/>
      <c r="G168" s="94"/>
      <c r="H168" s="89"/>
    </row>
    <row r="169" spans="1:8" ht="18" customHeight="1">
      <c r="A169" s="83"/>
      <c r="B169" s="93"/>
      <c r="C169" s="85"/>
      <c r="D169" s="94"/>
      <c r="E169" s="94"/>
      <c r="F169" s="94"/>
      <c r="G169" s="94"/>
      <c r="H169" s="89"/>
    </row>
    <row r="170" spans="1:8" ht="18.75" customHeight="1">
      <c r="A170" s="83"/>
      <c r="B170" s="93"/>
      <c r="C170" s="85"/>
      <c r="D170" s="85"/>
      <c r="E170" s="85"/>
      <c r="F170" s="85"/>
      <c r="G170" s="85"/>
      <c r="H170" s="89"/>
    </row>
    <row r="171" spans="1:8" ht="26.25" customHeight="1">
      <c r="A171" s="83"/>
      <c r="B171" s="93"/>
      <c r="C171" s="85"/>
      <c r="D171" s="85"/>
      <c r="E171" s="85"/>
      <c r="F171" s="85"/>
      <c r="G171" s="85"/>
      <c r="H171" s="89"/>
    </row>
    <row r="172" spans="1:8" ht="18.75" customHeight="1">
      <c r="A172" s="83"/>
      <c r="B172" s="93"/>
      <c r="C172" s="85"/>
      <c r="D172" s="85"/>
      <c r="E172" s="85"/>
      <c r="F172" s="85"/>
      <c r="G172" s="85"/>
      <c r="H172" s="89"/>
    </row>
    <row r="173" spans="1:8" ht="18.75" customHeight="1">
      <c r="A173" s="83"/>
      <c r="B173" s="93"/>
      <c r="C173" s="85"/>
      <c r="D173" s="94"/>
      <c r="E173" s="94"/>
      <c r="F173" s="94"/>
      <c r="G173" s="94"/>
      <c r="H173" s="89"/>
    </row>
    <row r="174" spans="1:8" ht="18.75" customHeight="1">
      <c r="A174" s="83"/>
      <c r="B174" s="96"/>
      <c r="C174" s="85"/>
      <c r="D174" s="85"/>
      <c r="E174" s="85"/>
      <c r="F174" s="85"/>
      <c r="G174" s="85"/>
      <c r="H174" s="89"/>
    </row>
    <row r="175" spans="1:8" ht="15" customHeight="1">
      <c r="A175" s="83"/>
      <c r="B175" s="109"/>
      <c r="C175" s="85"/>
      <c r="D175" s="85"/>
      <c r="E175" s="85"/>
      <c r="F175" s="85"/>
      <c r="G175" s="85"/>
      <c r="H175" s="89"/>
    </row>
    <row r="176" spans="1:8" ht="15" customHeight="1">
      <c r="A176" s="83"/>
      <c r="B176" s="109"/>
      <c r="C176" s="85"/>
      <c r="D176" s="85"/>
      <c r="E176" s="85"/>
      <c r="F176" s="85"/>
      <c r="G176" s="85"/>
      <c r="H176" s="89"/>
    </row>
    <row r="177" spans="1:8" ht="15" customHeight="1">
      <c r="A177" s="83"/>
      <c r="B177" s="109"/>
      <c r="C177" s="85"/>
      <c r="D177" s="85"/>
      <c r="E177" s="85"/>
      <c r="F177" s="85"/>
      <c r="G177" s="85"/>
      <c r="H177" s="89"/>
    </row>
    <row r="178" spans="1:8">
      <c r="A178" s="92"/>
      <c r="B178" s="92"/>
      <c r="C178" s="92"/>
      <c r="D178" s="97"/>
      <c r="E178" s="97"/>
      <c r="F178" s="97"/>
      <c r="G178" s="97"/>
      <c r="H178" s="89"/>
    </row>
    <row r="179" spans="1:8">
      <c r="A179" s="85"/>
      <c r="B179" s="85"/>
      <c r="C179" s="85"/>
      <c r="D179" s="85"/>
      <c r="E179" s="85"/>
      <c r="F179" s="85"/>
      <c r="G179" s="85"/>
    </row>
    <row r="180" spans="1:8">
      <c r="A180" s="109"/>
      <c r="B180" s="85"/>
      <c r="C180" s="85"/>
      <c r="D180" s="85"/>
      <c r="E180" s="85"/>
      <c r="F180" s="85"/>
      <c r="G180" s="85"/>
    </row>
    <row r="181" spans="1:8">
      <c r="A181" s="85"/>
      <c r="B181" s="85"/>
      <c r="C181" s="85"/>
      <c r="D181" s="85"/>
      <c r="E181" s="85"/>
      <c r="F181" s="85"/>
      <c r="G181" s="85"/>
    </row>
    <row r="182" spans="1:8">
      <c r="A182" s="109"/>
      <c r="B182" s="85"/>
      <c r="C182" s="85"/>
      <c r="D182" s="85"/>
      <c r="E182" s="85"/>
      <c r="F182" s="85"/>
      <c r="G182" s="85"/>
    </row>
    <row r="183" spans="1:8">
      <c r="A183" s="85"/>
      <c r="B183" s="110"/>
      <c r="C183" s="85"/>
      <c r="D183" s="85"/>
      <c r="E183" s="85"/>
      <c r="F183" s="85"/>
      <c r="G183" s="85"/>
    </row>
    <row r="184" spans="1:8" ht="30.75" customHeight="1">
      <c r="A184" s="85"/>
      <c r="B184" s="333"/>
      <c r="C184" s="333"/>
      <c r="D184" s="333"/>
      <c r="E184" s="333"/>
      <c r="F184" s="333"/>
      <c r="G184" s="333"/>
    </row>
    <row r="185" spans="1:8">
      <c r="A185" s="85"/>
      <c r="B185" s="98"/>
      <c r="C185" s="98"/>
      <c r="D185" s="98"/>
      <c r="E185" s="98"/>
      <c r="F185" s="98"/>
      <c r="G185" s="98"/>
    </row>
    <row r="186" spans="1:8">
      <c r="A186" s="85"/>
      <c r="B186" s="99"/>
      <c r="C186" s="319"/>
      <c r="D186" s="319"/>
      <c r="E186" s="319"/>
      <c r="F186" s="319"/>
      <c r="G186" s="319"/>
    </row>
    <row r="187" spans="1:8">
      <c r="A187" s="85"/>
      <c r="B187" s="100"/>
      <c r="C187" s="98"/>
      <c r="D187" s="98"/>
      <c r="E187" s="98"/>
      <c r="F187" s="98"/>
      <c r="G187" s="98"/>
    </row>
    <row r="188" spans="1:8" ht="49.5" customHeight="1">
      <c r="A188" s="85"/>
      <c r="B188" s="101"/>
      <c r="C188" s="318"/>
      <c r="D188" s="319"/>
      <c r="E188" s="319"/>
      <c r="F188" s="319"/>
      <c r="G188" s="319"/>
    </row>
    <row r="189" spans="1:8">
      <c r="A189" s="85"/>
      <c r="B189" s="102"/>
      <c r="C189" s="98"/>
      <c r="D189" s="98"/>
      <c r="E189" s="98"/>
      <c r="F189" s="98"/>
      <c r="G189" s="98"/>
    </row>
    <row r="190" spans="1:8">
      <c r="A190" s="85"/>
      <c r="B190" s="99"/>
      <c r="C190" s="319"/>
      <c r="D190" s="319"/>
      <c r="E190" s="319"/>
      <c r="F190" s="319"/>
      <c r="G190" s="319"/>
    </row>
    <row r="191" spans="1:8">
      <c r="A191" s="85"/>
      <c r="B191" s="100"/>
      <c r="C191" s="98"/>
      <c r="D191" s="98"/>
      <c r="E191" s="98"/>
      <c r="F191" s="98"/>
      <c r="G191" s="98"/>
    </row>
    <row r="192" spans="1:8" ht="78.75" customHeight="1">
      <c r="A192" s="85"/>
      <c r="B192" s="101"/>
      <c r="C192" s="318"/>
      <c r="D192" s="319"/>
      <c r="E192" s="319"/>
      <c r="F192" s="319"/>
      <c r="G192" s="319"/>
    </row>
    <row r="193" spans="1:7">
      <c r="A193" s="85"/>
      <c r="B193" s="100"/>
      <c r="C193" s="98"/>
      <c r="D193" s="98"/>
      <c r="E193" s="98"/>
      <c r="F193" s="98"/>
      <c r="G193" s="98"/>
    </row>
    <row r="194" spans="1:7">
      <c r="A194" s="85"/>
      <c r="B194" s="100"/>
      <c r="C194" s="98"/>
      <c r="D194" s="98"/>
      <c r="E194" s="98"/>
      <c r="F194" s="98"/>
      <c r="G194" s="98"/>
    </row>
    <row r="195" spans="1:7">
      <c r="A195" s="85"/>
      <c r="B195" s="99"/>
      <c r="C195" s="319"/>
      <c r="D195" s="319"/>
      <c r="E195" s="319"/>
      <c r="F195" s="319"/>
      <c r="G195" s="319"/>
    </row>
    <row r="196" spans="1:7">
      <c r="A196" s="85"/>
      <c r="B196" s="98"/>
      <c r="C196" s="98"/>
      <c r="D196" s="98"/>
      <c r="E196" s="98"/>
      <c r="F196" s="98"/>
      <c r="G196" s="98"/>
    </row>
    <row r="197" spans="1:7" ht="58.5" customHeight="1">
      <c r="A197" s="85"/>
      <c r="B197" s="101"/>
      <c r="C197" s="318"/>
      <c r="D197" s="319"/>
      <c r="E197" s="319"/>
      <c r="F197" s="319"/>
      <c r="G197" s="319"/>
    </row>
    <row r="198" spans="1:7" ht="90" customHeight="1">
      <c r="A198" s="85"/>
      <c r="B198" s="101"/>
      <c r="C198" s="318"/>
      <c r="D198" s="319"/>
      <c r="E198" s="319"/>
      <c r="F198" s="319"/>
      <c r="G198" s="319"/>
    </row>
    <row r="199" spans="1:7">
      <c r="A199" s="85"/>
      <c r="B199" s="101"/>
      <c r="C199" s="327"/>
      <c r="D199" s="328"/>
      <c r="E199" s="328"/>
      <c r="F199" s="328"/>
      <c r="G199" s="328"/>
    </row>
    <row r="200" spans="1:7">
      <c r="A200" s="85"/>
      <c r="B200" s="103"/>
      <c r="C200" s="317"/>
      <c r="D200" s="317"/>
      <c r="E200" s="104"/>
      <c r="F200" s="104"/>
      <c r="G200" s="104"/>
    </row>
    <row r="201" spans="1:7">
      <c r="A201" s="85"/>
      <c r="B201" s="103"/>
      <c r="C201" s="317"/>
      <c r="D201" s="317"/>
      <c r="E201" s="104"/>
      <c r="F201" s="104"/>
      <c r="G201" s="104"/>
    </row>
    <row r="202" spans="1:7">
      <c r="A202" s="85"/>
      <c r="B202" s="103"/>
      <c r="C202" s="317"/>
      <c r="D202" s="317"/>
      <c r="E202" s="104"/>
      <c r="F202" s="104"/>
      <c r="G202" s="104"/>
    </row>
    <row r="203" spans="1:7">
      <c r="A203" s="85"/>
      <c r="B203" s="103"/>
      <c r="C203" s="317"/>
      <c r="D203" s="317"/>
      <c r="E203" s="104"/>
      <c r="F203" s="104"/>
      <c r="G203" s="104"/>
    </row>
    <row r="204" spans="1:7">
      <c r="A204" s="85"/>
      <c r="B204" s="103"/>
      <c r="C204" s="317"/>
      <c r="D204" s="317"/>
      <c r="E204" s="104"/>
      <c r="F204" s="104"/>
      <c r="G204" s="104"/>
    </row>
    <row r="205" spans="1:7">
      <c r="A205" s="85"/>
      <c r="B205" s="103"/>
      <c r="C205" s="317"/>
      <c r="D205" s="317"/>
      <c r="E205" s="104"/>
      <c r="F205" s="104"/>
      <c r="G205" s="104"/>
    </row>
    <row r="206" spans="1:7">
      <c r="A206" s="85"/>
      <c r="B206" s="103"/>
      <c r="C206" s="317"/>
      <c r="D206" s="317"/>
      <c r="E206" s="104"/>
      <c r="F206" s="104"/>
      <c r="G206" s="104"/>
    </row>
    <row r="207" spans="1:7">
      <c r="A207" s="85"/>
      <c r="B207" s="103"/>
      <c r="C207" s="317"/>
      <c r="D207" s="317"/>
      <c r="E207" s="104"/>
      <c r="F207" s="104"/>
      <c r="G207" s="104"/>
    </row>
    <row r="208" spans="1:7">
      <c r="A208" s="85"/>
      <c r="B208" s="103"/>
      <c r="C208" s="317"/>
      <c r="D208" s="317"/>
      <c r="E208" s="104"/>
      <c r="F208" s="104"/>
      <c r="G208" s="104"/>
    </row>
    <row r="209" spans="1:7">
      <c r="A209" s="85"/>
      <c r="B209" s="103"/>
      <c r="C209" s="317"/>
      <c r="D209" s="317"/>
      <c r="E209" s="104"/>
      <c r="F209" s="104"/>
      <c r="G209" s="104"/>
    </row>
    <row r="210" spans="1:7" ht="26.25" customHeight="1">
      <c r="A210" s="85"/>
      <c r="B210" s="103"/>
      <c r="C210" s="325"/>
      <c r="D210" s="325"/>
      <c r="E210" s="325"/>
      <c r="F210" s="325"/>
      <c r="G210" s="325"/>
    </row>
    <row r="211" spans="1:7">
      <c r="A211" s="85"/>
      <c r="B211" s="85"/>
      <c r="C211" s="92"/>
      <c r="D211" s="85"/>
      <c r="E211" s="85"/>
      <c r="F211" s="85"/>
      <c r="G211" s="85"/>
    </row>
    <row r="212" spans="1:7">
      <c r="A212" s="109"/>
      <c r="B212" s="85"/>
      <c r="C212" s="85"/>
      <c r="D212" s="85"/>
      <c r="E212" s="85"/>
      <c r="F212" s="85"/>
      <c r="G212" s="85"/>
    </row>
    <row r="213" spans="1:7">
      <c r="A213" s="85"/>
      <c r="B213" s="85"/>
      <c r="C213" s="85"/>
      <c r="D213" s="85"/>
      <c r="E213" s="85"/>
      <c r="F213" s="85"/>
      <c r="G213" s="85"/>
    </row>
    <row r="214" spans="1:7">
      <c r="A214" s="101"/>
      <c r="B214" s="85"/>
      <c r="C214" s="85"/>
      <c r="D214" s="85"/>
      <c r="E214" s="85"/>
      <c r="F214" s="85"/>
      <c r="G214" s="85"/>
    </row>
    <row r="215" spans="1:7">
      <c r="A215" s="101"/>
      <c r="B215" s="85"/>
      <c r="C215" s="85"/>
      <c r="D215" s="85"/>
      <c r="E215" s="85"/>
      <c r="F215" s="85"/>
      <c r="G215" s="85"/>
    </row>
    <row r="216" spans="1:7">
      <c r="A216" s="101"/>
      <c r="B216" s="85"/>
      <c r="C216" s="85"/>
      <c r="D216" s="85"/>
      <c r="E216" s="85"/>
      <c r="F216" s="85"/>
      <c r="G216" s="85"/>
    </row>
    <row r="217" spans="1:7">
      <c r="A217" s="85"/>
      <c r="B217" s="317"/>
      <c r="C217" s="317"/>
      <c r="D217" s="85"/>
      <c r="E217" s="85"/>
      <c r="F217" s="85"/>
      <c r="G217" s="85"/>
    </row>
    <row r="218" spans="1:7">
      <c r="A218" s="85"/>
      <c r="B218" s="317"/>
      <c r="C218" s="317"/>
      <c r="D218" s="85"/>
      <c r="E218" s="85"/>
      <c r="F218" s="85"/>
      <c r="G218" s="85"/>
    </row>
    <row r="219" spans="1:7">
      <c r="A219" s="85"/>
      <c r="B219" s="317"/>
      <c r="C219" s="317"/>
      <c r="D219" s="85"/>
      <c r="E219" s="85"/>
      <c r="F219" s="85"/>
      <c r="G219" s="85"/>
    </row>
    <row r="220" spans="1:7">
      <c r="A220" s="85"/>
      <c r="B220" s="317"/>
      <c r="C220" s="317"/>
      <c r="D220" s="85"/>
      <c r="E220" s="85"/>
      <c r="F220" s="85"/>
      <c r="G220" s="85"/>
    </row>
    <row r="221" spans="1:7">
      <c r="A221" s="85"/>
      <c r="B221" s="317"/>
      <c r="C221" s="317"/>
      <c r="D221" s="85"/>
      <c r="E221" s="85"/>
      <c r="F221" s="85"/>
      <c r="G221" s="85"/>
    </row>
    <row r="222" spans="1:7">
      <c r="A222" s="85"/>
      <c r="B222" s="317"/>
      <c r="C222" s="317"/>
      <c r="D222" s="85"/>
      <c r="E222" s="85"/>
      <c r="F222" s="85"/>
      <c r="G222" s="85"/>
    </row>
    <row r="223" spans="1:7">
      <c r="A223" s="85"/>
      <c r="B223" s="317"/>
      <c r="C223" s="317"/>
      <c r="D223" s="85"/>
      <c r="E223" s="85"/>
      <c r="F223" s="85"/>
      <c r="G223" s="85"/>
    </row>
    <row r="224" spans="1:7">
      <c r="A224" s="85"/>
      <c r="B224" s="317"/>
      <c r="C224" s="317"/>
      <c r="D224" s="85"/>
      <c r="E224" s="85"/>
      <c r="F224" s="85"/>
      <c r="G224" s="85"/>
    </row>
    <row r="225" spans="1:7">
      <c r="A225" s="85"/>
      <c r="B225" s="317"/>
      <c r="C225" s="317"/>
      <c r="D225" s="85"/>
      <c r="E225" s="85"/>
      <c r="F225" s="85"/>
      <c r="G225" s="85"/>
    </row>
    <row r="226" spans="1:7">
      <c r="A226" s="85"/>
      <c r="B226" s="317"/>
      <c r="C226" s="317"/>
      <c r="D226" s="85"/>
      <c r="E226" s="85"/>
      <c r="F226" s="85"/>
      <c r="G226" s="85"/>
    </row>
    <row r="227" spans="1:7">
      <c r="A227" s="85"/>
      <c r="B227" s="317"/>
      <c r="C227" s="317"/>
      <c r="D227" s="85"/>
      <c r="E227" s="85"/>
      <c r="F227" s="85"/>
      <c r="G227" s="85"/>
    </row>
    <row r="228" spans="1:7">
      <c r="A228" s="85"/>
      <c r="B228" s="317"/>
      <c r="C228" s="317"/>
      <c r="D228" s="85"/>
      <c r="E228" s="85"/>
      <c r="F228" s="85"/>
      <c r="G228" s="85"/>
    </row>
    <row r="229" spans="1:7">
      <c r="A229" s="101"/>
      <c r="B229" s="85"/>
      <c r="C229" s="104"/>
      <c r="D229" s="85"/>
      <c r="E229" s="85"/>
      <c r="F229" s="85"/>
      <c r="G229" s="85"/>
    </row>
    <row r="230" spans="1:7" ht="15" customHeight="1">
      <c r="A230" s="101"/>
      <c r="B230" s="319"/>
      <c r="C230" s="319"/>
      <c r="D230" s="319"/>
      <c r="E230" s="319"/>
      <c r="F230" s="319"/>
      <c r="G230" s="319"/>
    </row>
    <row r="231" spans="1:7" ht="32.25" customHeight="1">
      <c r="A231" s="101"/>
      <c r="B231" s="319"/>
      <c r="C231" s="319"/>
      <c r="D231" s="319"/>
      <c r="E231" s="319"/>
      <c r="F231" s="319"/>
      <c r="G231" s="319"/>
    </row>
    <row r="232" spans="1:7">
      <c r="A232" s="85"/>
      <c r="B232" s="85"/>
      <c r="C232" s="85"/>
      <c r="D232" s="85"/>
      <c r="E232" s="85"/>
      <c r="F232" s="85"/>
      <c r="G232" s="85"/>
    </row>
    <row r="233" spans="1:7">
      <c r="A233" s="109"/>
      <c r="B233" s="85"/>
      <c r="C233" s="85"/>
      <c r="D233" s="85"/>
      <c r="E233" s="85"/>
      <c r="F233" s="85"/>
      <c r="G233" s="85"/>
    </row>
    <row r="234" spans="1:7">
      <c r="A234" s="85"/>
      <c r="B234" s="85"/>
      <c r="C234" s="85"/>
      <c r="D234" s="85"/>
      <c r="E234" s="85"/>
      <c r="F234" s="85"/>
      <c r="G234" s="85"/>
    </row>
    <row r="235" spans="1:7" ht="32.25" customHeight="1">
      <c r="A235" s="101"/>
      <c r="B235" s="326"/>
      <c r="C235" s="326"/>
      <c r="D235" s="326"/>
      <c r="E235" s="326"/>
      <c r="F235" s="326"/>
      <c r="G235" s="326"/>
    </row>
    <row r="236" spans="1:7" ht="17.25" customHeight="1">
      <c r="A236" s="101"/>
      <c r="B236" s="326"/>
      <c r="C236" s="326"/>
      <c r="D236" s="326"/>
      <c r="E236" s="326"/>
      <c r="F236" s="326"/>
      <c r="G236" s="326"/>
    </row>
    <row r="237" spans="1:7" ht="18" customHeight="1">
      <c r="A237" s="101"/>
      <c r="B237" s="326"/>
      <c r="C237" s="326"/>
      <c r="D237" s="326"/>
      <c r="E237" s="326"/>
      <c r="F237" s="326"/>
      <c r="G237" s="326"/>
    </row>
    <row r="238" spans="1:7">
      <c r="A238" s="101"/>
      <c r="B238" s="326"/>
      <c r="C238" s="326"/>
      <c r="D238" s="326"/>
      <c r="E238" s="326"/>
      <c r="F238" s="326"/>
      <c r="G238" s="326"/>
    </row>
  </sheetData>
  <mergeCells count="180">
    <mergeCell ref="C161:G161"/>
    <mergeCell ref="C162:G162"/>
    <mergeCell ref="C2:F2"/>
    <mergeCell ref="C152:G152"/>
    <mergeCell ref="B154:G154"/>
    <mergeCell ref="C155:G155"/>
    <mergeCell ref="B156:G156"/>
    <mergeCell ref="C157:G157"/>
    <mergeCell ref="C158:G158"/>
    <mergeCell ref="B159:G159"/>
    <mergeCell ref="C160:G160"/>
    <mergeCell ref="B145:G145"/>
    <mergeCell ref="C146:G146"/>
    <mergeCell ref="C147:G147"/>
    <mergeCell ref="C148:G148"/>
    <mergeCell ref="C149:G149"/>
    <mergeCell ref="C150:G150"/>
    <mergeCell ref="C151:G151"/>
    <mergeCell ref="C137:G137"/>
    <mergeCell ref="C138:G138"/>
    <mergeCell ref="B140:G140"/>
    <mergeCell ref="C141:G141"/>
    <mergeCell ref="B142:G142"/>
    <mergeCell ref="C143:G143"/>
    <mergeCell ref="C62:G62"/>
    <mergeCell ref="C63:G63"/>
    <mergeCell ref="C59:G59"/>
    <mergeCell ref="C57:G57"/>
    <mergeCell ref="C120:G120"/>
    <mergeCell ref="C144:G144"/>
    <mergeCell ref="C129:G129"/>
    <mergeCell ref="C130:G130"/>
    <mergeCell ref="C131:G131"/>
    <mergeCell ref="C132:G132"/>
    <mergeCell ref="C133:G133"/>
    <mergeCell ref="C134:G134"/>
    <mergeCell ref="C135:G135"/>
    <mergeCell ref="C136:G136"/>
    <mergeCell ref="C108:G108"/>
    <mergeCell ref="B109:G109"/>
    <mergeCell ref="C110:G110"/>
    <mergeCell ref="C111:G111"/>
    <mergeCell ref="C112:G112"/>
    <mergeCell ref="C98:G98"/>
    <mergeCell ref="C95:G95"/>
    <mergeCell ref="B99:G99"/>
    <mergeCell ref="C94:G94"/>
    <mergeCell ref="C118:G118"/>
    <mergeCell ref="B6:G6"/>
    <mergeCell ref="D9:G9"/>
    <mergeCell ref="D11:G11"/>
    <mergeCell ref="B20:G20"/>
    <mergeCell ref="D13:G13"/>
    <mergeCell ref="D15:G15"/>
    <mergeCell ref="D17:G17"/>
    <mergeCell ref="C23:G23"/>
    <mergeCell ref="C107:G107"/>
    <mergeCell ref="C45:G45"/>
    <mergeCell ref="C21:G21"/>
    <mergeCell ref="B44:G44"/>
    <mergeCell ref="C22:G22"/>
    <mergeCell ref="C24:G24"/>
    <mergeCell ref="C26:G26"/>
    <mergeCell ref="C28:G28"/>
    <mergeCell ref="C75:G75"/>
    <mergeCell ref="C58:G58"/>
    <mergeCell ref="C65:G65"/>
    <mergeCell ref="B86:G86"/>
    <mergeCell ref="C81:G81"/>
    <mergeCell ref="C82:G82"/>
    <mergeCell ref="C83:G83"/>
    <mergeCell ref="B74:G74"/>
    <mergeCell ref="C33:G33"/>
    <mergeCell ref="C50:G50"/>
    <mergeCell ref="C25:G25"/>
    <mergeCell ref="B184:G184"/>
    <mergeCell ref="C68:G68"/>
    <mergeCell ref="B85:G85"/>
    <mergeCell ref="C80:G80"/>
    <mergeCell ref="C87:G87"/>
    <mergeCell ref="C88:G88"/>
    <mergeCell ref="C67:G67"/>
    <mergeCell ref="C76:G76"/>
    <mergeCell ref="C78:G78"/>
    <mergeCell ref="C79:G79"/>
    <mergeCell ref="C77:G77"/>
    <mergeCell ref="B36:G36"/>
    <mergeCell ref="C37:G37"/>
    <mergeCell ref="C38:G38"/>
    <mergeCell ref="C39:G39"/>
    <mergeCell ref="C102:G102"/>
    <mergeCell ref="C101:G101"/>
    <mergeCell ref="C100:G100"/>
    <mergeCell ref="C96:G96"/>
    <mergeCell ref="C97:G97"/>
    <mergeCell ref="C61:G61"/>
    <mergeCell ref="C192:G192"/>
    <mergeCell ref="C195:G195"/>
    <mergeCell ref="C197:G197"/>
    <mergeCell ref="C198:G198"/>
    <mergeCell ref="C199:G199"/>
    <mergeCell ref="B104:G104"/>
    <mergeCell ref="C105:G105"/>
    <mergeCell ref="B106:G106"/>
    <mergeCell ref="C89:G89"/>
    <mergeCell ref="B90:G90"/>
    <mergeCell ref="B121:G121"/>
    <mergeCell ref="C122:G122"/>
    <mergeCell ref="C123:G123"/>
    <mergeCell ref="B124:G124"/>
    <mergeCell ref="C125:G125"/>
    <mergeCell ref="C126:G126"/>
    <mergeCell ref="C127:G127"/>
    <mergeCell ref="C128:G128"/>
    <mergeCell ref="C113:G113"/>
    <mergeCell ref="C114:G114"/>
    <mergeCell ref="C115:G115"/>
    <mergeCell ref="C116:G116"/>
    <mergeCell ref="C117:G117"/>
    <mergeCell ref="B119:G119"/>
    <mergeCell ref="B237:G237"/>
    <mergeCell ref="B238:G238"/>
    <mergeCell ref="B223:C223"/>
    <mergeCell ref="B224:C224"/>
    <mergeCell ref="B225:C225"/>
    <mergeCell ref="B226:C226"/>
    <mergeCell ref="B227:C227"/>
    <mergeCell ref="B228:C228"/>
    <mergeCell ref="B230:G230"/>
    <mergeCell ref="B231:G231"/>
    <mergeCell ref="B235:G235"/>
    <mergeCell ref="B236:G236"/>
    <mergeCell ref="C203:D203"/>
    <mergeCell ref="C204:D204"/>
    <mergeCell ref="C188:G188"/>
    <mergeCell ref="C190:G190"/>
    <mergeCell ref="C40:G40"/>
    <mergeCell ref="C41:G41"/>
    <mergeCell ref="B221:C221"/>
    <mergeCell ref="B222:C222"/>
    <mergeCell ref="C205:D205"/>
    <mergeCell ref="C206:D206"/>
    <mergeCell ref="C207:D207"/>
    <mergeCell ref="C208:D208"/>
    <mergeCell ref="C200:D200"/>
    <mergeCell ref="C201:D201"/>
    <mergeCell ref="C202:D202"/>
    <mergeCell ref="C186:G186"/>
    <mergeCell ref="C56:G56"/>
    <mergeCell ref="C91:G91"/>
    <mergeCell ref="C209:D209"/>
    <mergeCell ref="C210:G210"/>
    <mergeCell ref="B217:C217"/>
    <mergeCell ref="B218:C218"/>
    <mergeCell ref="B219:C219"/>
    <mergeCell ref="B220:C220"/>
    <mergeCell ref="C3:F3"/>
    <mergeCell ref="C29:G29"/>
    <mergeCell ref="C27:G27"/>
    <mergeCell ref="C32:G32"/>
    <mergeCell ref="C30:G30"/>
    <mergeCell ref="C31:G31"/>
    <mergeCell ref="B51:G51"/>
    <mergeCell ref="C92:G92"/>
    <mergeCell ref="C93:G93"/>
    <mergeCell ref="B54:G54"/>
    <mergeCell ref="B64:G64"/>
    <mergeCell ref="B66:G66"/>
    <mergeCell ref="C52:G52"/>
    <mergeCell ref="C53:G53"/>
    <mergeCell ref="C55:G55"/>
    <mergeCell ref="B60:G60"/>
    <mergeCell ref="C69:G69"/>
    <mergeCell ref="C70:G70"/>
    <mergeCell ref="B71:G71"/>
    <mergeCell ref="C72:G72"/>
    <mergeCell ref="C46:G46"/>
    <mergeCell ref="C47:G47"/>
    <mergeCell ref="C48:G48"/>
    <mergeCell ref="C49:G49"/>
  </mergeCells>
  <phoneticPr fontId="7" type="noConversion"/>
  <pageMargins left="0.6692913385826772" right="0.39370078740157483" top="0.55118110236220474" bottom="0.31496062992125984" header="0.51181102362204722" footer="0.51181102362204722"/>
  <pageSetup paperSize="9" scale="80" orientation="portrait" verticalDpi="0" r:id="rId1"/>
  <headerFooter alignWithMargins="0"/>
  <drawing r:id="rId2"/>
  <legacyDrawing r:id="rId3"/>
  <oleObjects>
    <mc:AlternateContent xmlns:mc="http://schemas.openxmlformats.org/markup-compatibility/2006">
      <mc:Choice Requires="x14">
        <oleObject progId="PBrush" shapeId="16386" r:id="rId4">
          <objectPr defaultSize="0" autoPict="0" r:id="rId5">
            <anchor moveWithCells="1" sizeWithCells="1">
              <from>
                <xdr:col>1</xdr:col>
                <xdr:colOff>428625</xdr:colOff>
                <xdr:row>1</xdr:row>
                <xdr:rowOff>38100</xdr:rowOff>
              </from>
              <to>
                <xdr:col>1</xdr:col>
                <xdr:colOff>1343025</xdr:colOff>
                <xdr:row>1</xdr:row>
                <xdr:rowOff>523875</xdr:rowOff>
              </to>
            </anchor>
          </objectPr>
        </oleObject>
      </mc:Choice>
      <mc:Fallback>
        <oleObject progId="PBrush" shapeId="16386"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2:H18"/>
  <sheetViews>
    <sheetView showGridLines="0" workbookViewId="0">
      <selection activeCell="C15" sqref="C15"/>
    </sheetView>
  </sheetViews>
  <sheetFormatPr baseColWidth="10" defaultColWidth="9.140625" defaultRowHeight="12.75"/>
  <cols>
    <col min="2" max="2" width="14.5703125" customWidth="1"/>
    <col min="3" max="3" width="16.7109375" customWidth="1"/>
    <col min="4" max="4" width="18" customWidth="1"/>
    <col min="5" max="5" width="38.5703125" customWidth="1"/>
    <col min="6" max="6" width="25" customWidth="1"/>
    <col min="8" max="8" width="9.140625" customWidth="1"/>
  </cols>
  <sheetData>
    <row r="2" spans="1:8" s="68" customFormat="1" ht="39.75" customHeight="1">
      <c r="A2" s="69"/>
      <c r="B2" s="246"/>
      <c r="C2" s="342" t="s">
        <v>323</v>
      </c>
      <c r="D2" s="343"/>
      <c r="E2" s="344"/>
      <c r="F2" s="70"/>
      <c r="G2" s="120"/>
      <c r="H2" s="119"/>
    </row>
    <row r="3" spans="1:8" s="68" customFormat="1" ht="14.25" customHeight="1">
      <c r="A3" s="69"/>
      <c r="B3" s="181"/>
      <c r="C3" s="181"/>
      <c r="D3" s="181"/>
      <c r="E3" s="181"/>
      <c r="F3" s="119"/>
      <c r="G3" s="120"/>
      <c r="H3" s="119"/>
    </row>
    <row r="4" spans="1:8">
      <c r="B4" s="345"/>
      <c r="C4" s="345"/>
      <c r="D4" s="345"/>
      <c r="E4" s="345"/>
      <c r="F4" s="345"/>
    </row>
    <row r="5" spans="1:8" ht="9.75" customHeight="1">
      <c r="B5" s="118"/>
      <c r="C5" s="118"/>
      <c r="D5" s="118"/>
      <c r="E5" s="118"/>
      <c r="F5" s="118"/>
    </row>
    <row r="6" spans="1:8">
      <c r="B6" s="113" t="s">
        <v>48</v>
      </c>
      <c r="C6" s="113" t="s">
        <v>136</v>
      </c>
      <c r="D6" s="113" t="s">
        <v>137</v>
      </c>
      <c r="E6" s="350" t="s">
        <v>138</v>
      </c>
      <c r="F6" s="351"/>
    </row>
    <row r="7" spans="1:8">
      <c r="B7" s="114">
        <v>1</v>
      </c>
      <c r="C7" s="242">
        <v>42486</v>
      </c>
      <c r="D7" s="114" t="s">
        <v>143</v>
      </c>
      <c r="E7" s="346" t="s">
        <v>430</v>
      </c>
      <c r="F7" s="347"/>
    </row>
    <row r="8" spans="1:8">
      <c r="B8" s="114">
        <v>2</v>
      </c>
      <c r="C8" s="115">
        <v>42499</v>
      </c>
      <c r="D8" s="114" t="s">
        <v>423</v>
      </c>
      <c r="E8" s="348" t="s">
        <v>504</v>
      </c>
      <c r="F8" s="349"/>
    </row>
    <row r="9" spans="1:8">
      <c r="B9" s="114"/>
      <c r="C9" s="115"/>
      <c r="D9" s="114"/>
      <c r="E9" s="348"/>
      <c r="F9" s="349"/>
    </row>
    <row r="10" spans="1:8">
      <c r="B10" s="114"/>
      <c r="C10" s="115"/>
      <c r="D10" s="114"/>
      <c r="E10" s="348"/>
      <c r="F10" s="349"/>
    </row>
    <row r="12" spans="1:8">
      <c r="B12" s="345"/>
      <c r="C12" s="345"/>
      <c r="D12" s="345"/>
      <c r="E12" s="345"/>
      <c r="F12" s="345"/>
    </row>
    <row r="13" spans="1:8" ht="9.75" customHeight="1">
      <c r="B13" s="241"/>
      <c r="C13" s="241"/>
      <c r="D13" s="241"/>
      <c r="E13" s="241"/>
      <c r="F13" s="241"/>
    </row>
    <row r="14" spans="1:8">
      <c r="B14" s="113" t="s">
        <v>48</v>
      </c>
      <c r="C14" s="113" t="s">
        <v>136</v>
      </c>
      <c r="D14" s="113" t="s">
        <v>429</v>
      </c>
      <c r="E14" s="350" t="s">
        <v>427</v>
      </c>
      <c r="F14" s="351"/>
    </row>
    <row r="15" spans="1:8">
      <c r="B15" s="114">
        <v>2</v>
      </c>
      <c r="C15" s="115">
        <v>42499</v>
      </c>
      <c r="D15" s="114" t="s">
        <v>423</v>
      </c>
      <c r="E15" s="348" t="s">
        <v>505</v>
      </c>
      <c r="F15" s="349"/>
    </row>
    <row r="16" spans="1:8">
      <c r="B16" s="114"/>
      <c r="C16" s="242"/>
      <c r="D16" s="114"/>
      <c r="E16" s="346"/>
      <c r="F16" s="347"/>
    </row>
    <row r="17" spans="2:6">
      <c r="B17" s="114"/>
      <c r="C17" s="242"/>
      <c r="D17" s="114"/>
      <c r="E17" s="346"/>
      <c r="F17" s="347"/>
    </row>
    <row r="18" spans="2:6">
      <c r="B18" s="114"/>
      <c r="C18" s="115"/>
      <c r="D18" s="114"/>
      <c r="E18" s="348"/>
      <c r="F18" s="349"/>
    </row>
  </sheetData>
  <mergeCells count="13">
    <mergeCell ref="C2:E2"/>
    <mergeCell ref="E8:F8"/>
    <mergeCell ref="E9:F9"/>
    <mergeCell ref="E10:F10"/>
    <mergeCell ref="B4:F4"/>
    <mergeCell ref="E6:F6"/>
    <mergeCell ref="E7:F7"/>
    <mergeCell ref="B12:F12"/>
    <mergeCell ref="E17:F17"/>
    <mergeCell ref="E18:F18"/>
    <mergeCell ref="E14:F14"/>
    <mergeCell ref="E15:F15"/>
    <mergeCell ref="E16:F16"/>
  </mergeCells>
  <dataValidations count="1">
    <dataValidation type="list" allowBlank="1" showInputMessage="1" showErrorMessage="1" sqref="D7:D10 D15:D18">
      <formula1>Autor_Registro</formula1>
    </dataValidation>
  </dataValidations>
  <pageMargins left="0.7" right="0.7" top="0.75" bottom="0.75" header="0.3" footer="0.3"/>
  <drawing r:id="rId1"/>
  <legacyDrawing r:id="rId2"/>
  <oleObjects>
    <mc:AlternateContent xmlns:mc="http://schemas.openxmlformats.org/markup-compatibility/2006">
      <mc:Choice Requires="x14">
        <oleObject progId="PBrush" shapeId="17413" r:id="rId3">
          <objectPr defaultSize="0" autoPict="0" r:id="rId4">
            <anchor moveWithCells="1" sizeWithCells="1">
              <from>
                <xdr:col>1</xdr:col>
                <xdr:colOff>161925</xdr:colOff>
                <xdr:row>1</xdr:row>
                <xdr:rowOff>47625</xdr:rowOff>
              </from>
              <to>
                <xdr:col>1</xdr:col>
                <xdr:colOff>933450</xdr:colOff>
                <xdr:row>2</xdr:row>
                <xdr:rowOff>9525</xdr:rowOff>
              </to>
            </anchor>
          </objectPr>
        </oleObject>
      </mc:Choice>
      <mc:Fallback>
        <oleObject progId="PBrush" shapeId="17413" r:id="rId3"/>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2:H78"/>
  <sheetViews>
    <sheetView showGridLines="0" tabSelected="1" topLeftCell="A31" zoomScaleSheetLayoutView="100" zoomScalePageLayoutView="70" workbookViewId="0">
      <selection activeCell="D38" sqref="D38"/>
    </sheetView>
  </sheetViews>
  <sheetFormatPr baseColWidth="10" defaultColWidth="9.140625" defaultRowHeight="12.75"/>
  <cols>
    <col min="1" max="1" width="3.28515625" style="10" customWidth="1"/>
    <col min="2" max="2" width="38" style="10" customWidth="1"/>
    <col min="3" max="3" width="23.28515625" style="10" customWidth="1"/>
    <col min="4" max="4" width="34.7109375" style="10" customWidth="1"/>
    <col min="5" max="5" width="15.7109375" style="10" customWidth="1"/>
    <col min="6" max="6" width="7.85546875" style="11" customWidth="1"/>
    <col min="7" max="7" width="25.85546875" style="10" customWidth="1"/>
    <col min="8" max="16384" width="9.140625" style="10"/>
  </cols>
  <sheetData>
    <row r="2" spans="1:8" s="68" customFormat="1" ht="40.5" customHeight="1">
      <c r="A2" s="69"/>
      <c r="B2" s="71"/>
      <c r="C2" s="342" t="s">
        <v>323</v>
      </c>
      <c r="D2" s="343"/>
      <c r="E2" s="343"/>
      <c r="F2" s="344"/>
      <c r="G2" s="70"/>
      <c r="H2" s="119"/>
    </row>
    <row r="4" spans="1:8" ht="15.75">
      <c r="B4" s="17" t="s">
        <v>121</v>
      </c>
    </row>
    <row r="6" spans="1:8">
      <c r="B6" s="1" t="s">
        <v>24</v>
      </c>
      <c r="C6" s="22" t="s">
        <v>311</v>
      </c>
      <c r="D6" s="12"/>
      <c r="E6" s="60" t="s">
        <v>178</v>
      </c>
      <c r="F6" s="33" t="str">
        <f>IF(OR(C17&gt;TAB_MIN_ESFUERZO,$C$13=Tablas!$B$21),"SI","NO")</f>
        <v>SI</v>
      </c>
      <c r="G6" s="13" t="str">
        <f>IF(F6="SI","Esta OT debe ser enviada para revisión del Consultor","")</f>
        <v>Esta OT debe ser enviada para revisión del Consultor</v>
      </c>
    </row>
    <row r="7" spans="1:8">
      <c r="B7" s="1" t="s">
        <v>34</v>
      </c>
      <c r="C7" s="243" t="s">
        <v>37</v>
      </c>
      <c r="D7" s="12"/>
    </row>
    <row r="8" spans="1:8">
      <c r="B8" s="1" t="s">
        <v>13</v>
      </c>
      <c r="C8" s="253">
        <v>8679</v>
      </c>
      <c r="D8" s="12"/>
    </row>
    <row r="9" spans="1:8">
      <c r="B9" s="1" t="s">
        <v>5</v>
      </c>
      <c r="C9" s="352" t="s">
        <v>478</v>
      </c>
      <c r="D9" s="353"/>
      <c r="F9" s="10"/>
    </row>
    <row r="10" spans="1:8">
      <c r="B10" s="1" t="s">
        <v>8</v>
      </c>
      <c r="C10" s="244" t="s">
        <v>18</v>
      </c>
      <c r="D10" s="12"/>
      <c r="F10" s="10"/>
      <c r="G10" s="11"/>
    </row>
    <row r="11" spans="1:8" s="14" customFormat="1">
      <c r="B11" s="10"/>
      <c r="C11" s="10"/>
      <c r="D11" s="10"/>
      <c r="E11" s="13"/>
      <c r="F11" s="10"/>
      <c r="G11" s="11"/>
    </row>
    <row r="12" spans="1:8">
      <c r="B12" s="354" t="s">
        <v>31</v>
      </c>
      <c r="C12" s="355"/>
      <c r="D12" s="14"/>
      <c r="F12" s="10"/>
      <c r="G12" s="11"/>
    </row>
    <row r="13" spans="1:8">
      <c r="B13" s="1" t="s">
        <v>35</v>
      </c>
      <c r="C13" s="23" t="s">
        <v>29</v>
      </c>
      <c r="E13" s="14"/>
      <c r="F13" s="10"/>
      <c r="G13" s="15"/>
    </row>
    <row r="14" spans="1:8">
      <c r="B14" s="1" t="s">
        <v>177</v>
      </c>
      <c r="C14" s="23" t="s">
        <v>29</v>
      </c>
      <c r="F14" s="10"/>
      <c r="G14" s="11"/>
    </row>
    <row r="15" spans="1:8" s="14" customFormat="1">
      <c r="B15" s="10"/>
      <c r="C15" s="10"/>
      <c r="D15" s="10"/>
      <c r="E15" s="10"/>
      <c r="F15" s="10"/>
      <c r="G15" s="11"/>
    </row>
    <row r="16" spans="1:8" s="14" customFormat="1" ht="25.5">
      <c r="B16" s="26" t="s">
        <v>118</v>
      </c>
      <c r="C16" s="27" t="s">
        <v>182</v>
      </c>
      <c r="D16" s="154"/>
      <c r="E16" s="10"/>
      <c r="F16" s="11"/>
      <c r="G16" s="10"/>
    </row>
    <row r="17" spans="2:7">
      <c r="B17" s="36" t="s">
        <v>26</v>
      </c>
      <c r="C17" s="28">
        <f>SUM(C18:C21)</f>
        <v>52</v>
      </c>
      <c r="D17" s="155"/>
      <c r="E17" s="14"/>
      <c r="G17" s="14"/>
    </row>
    <row r="18" spans="2:7">
      <c r="B18" s="36" t="s">
        <v>44</v>
      </c>
      <c r="C18" s="24">
        <v>8</v>
      </c>
      <c r="D18" s="156"/>
      <c r="E18" s="288"/>
      <c r="F18" s="289"/>
      <c r="G18" s="14"/>
    </row>
    <row r="19" spans="2:7">
      <c r="B19" s="1" t="s">
        <v>33</v>
      </c>
      <c r="C19" s="24">
        <v>28</v>
      </c>
      <c r="D19" s="156"/>
      <c r="E19" s="289"/>
      <c r="F19" s="288"/>
    </row>
    <row r="20" spans="2:7">
      <c r="B20" s="36" t="s">
        <v>502</v>
      </c>
      <c r="C20" s="112">
        <v>12</v>
      </c>
      <c r="D20" s="156"/>
      <c r="E20" s="289"/>
      <c r="F20" s="289"/>
    </row>
    <row r="21" spans="2:7">
      <c r="B21" s="36" t="s">
        <v>501</v>
      </c>
      <c r="C21" s="112">
        <v>4</v>
      </c>
      <c r="D21" s="156"/>
      <c r="E21" s="289"/>
      <c r="F21" s="289"/>
    </row>
    <row r="22" spans="2:7">
      <c r="B22" s="245"/>
      <c r="C22" s="24"/>
      <c r="D22" s="157"/>
    </row>
    <row r="23" spans="2:7" ht="27.75" customHeight="1">
      <c r="B23" s="356"/>
      <c r="C23" s="356"/>
      <c r="F23" s="10"/>
      <c r="G23" s="11"/>
    </row>
    <row r="24" spans="2:7" ht="15" customHeight="1">
      <c r="C24" s="12"/>
      <c r="F24" s="10"/>
      <c r="G24" s="11"/>
    </row>
    <row r="25" spans="2:7" ht="25.5">
      <c r="B25" s="26" t="s">
        <v>109</v>
      </c>
      <c r="C25" s="27" t="s">
        <v>107</v>
      </c>
      <c r="D25" s="27" t="s">
        <v>108</v>
      </c>
      <c r="F25" s="10"/>
      <c r="G25" s="11"/>
    </row>
    <row r="26" spans="2:7">
      <c r="B26" s="37" t="s">
        <v>110</v>
      </c>
      <c r="C26" s="25">
        <v>42488</v>
      </c>
      <c r="D26" s="25">
        <v>42488</v>
      </c>
      <c r="F26" s="10"/>
      <c r="G26" s="11"/>
    </row>
    <row r="27" spans="2:7">
      <c r="B27" s="37" t="s">
        <v>111</v>
      </c>
      <c r="C27" s="25">
        <v>42488</v>
      </c>
      <c r="D27" s="25">
        <v>42488</v>
      </c>
      <c r="E27" s="19"/>
      <c r="F27" s="19"/>
      <c r="G27" s="11"/>
    </row>
    <row r="28" spans="2:7" ht="26.25" customHeight="1">
      <c r="B28" s="37" t="s">
        <v>129</v>
      </c>
      <c r="C28" s="38"/>
      <c r="D28" s="25">
        <v>42495</v>
      </c>
      <c r="E28" s="19"/>
      <c r="F28" s="10"/>
      <c r="G28" s="11"/>
    </row>
    <row r="29" spans="2:7">
      <c r="C29" s="12"/>
      <c r="F29" s="10"/>
      <c r="G29" s="11"/>
    </row>
    <row r="30" spans="2:7" ht="25.5">
      <c r="B30" s="39" t="s">
        <v>112</v>
      </c>
      <c r="C30" s="28">
        <f>horas/8</f>
        <v>6.5</v>
      </c>
      <c r="D30" s="18"/>
      <c r="E30" s="20"/>
      <c r="F30" s="10"/>
      <c r="G30" s="11"/>
    </row>
    <row r="31" spans="2:7">
      <c r="C31" s="12"/>
      <c r="D31" s="16"/>
    </row>
    <row r="32" spans="2:7" s="14" customFormat="1">
      <c r="B32" s="10"/>
      <c r="C32" s="12"/>
      <c r="D32" s="10"/>
      <c r="E32" s="10"/>
      <c r="F32" s="11"/>
      <c r="G32" s="10"/>
    </row>
    <row r="33" spans="2:7">
      <c r="B33" s="29" t="s">
        <v>40</v>
      </c>
      <c r="C33" s="30"/>
      <c r="D33" s="14"/>
    </row>
    <row r="34" spans="2:7">
      <c r="B34" s="1" t="s">
        <v>27</v>
      </c>
      <c r="C34" s="31" t="s">
        <v>438</v>
      </c>
      <c r="E34" s="15"/>
      <c r="F34" s="15"/>
      <c r="G34" s="14"/>
    </row>
    <row r="35" spans="2:7">
      <c r="B35" s="1" t="s">
        <v>90</v>
      </c>
      <c r="C35" s="32" t="s">
        <v>433</v>
      </c>
      <c r="E35" s="11"/>
    </row>
    <row r="36" spans="2:7">
      <c r="B36" s="1" t="s">
        <v>28</v>
      </c>
      <c r="C36" s="32" t="s">
        <v>423</v>
      </c>
      <c r="E36" s="11"/>
    </row>
    <row r="37" spans="2:7">
      <c r="B37" s="1" t="s">
        <v>36</v>
      </c>
      <c r="C37" s="32" t="s">
        <v>128</v>
      </c>
      <c r="E37" s="11"/>
    </row>
    <row r="38" spans="2:7">
      <c r="E38" s="11"/>
    </row>
    <row r="39" spans="2:7">
      <c r="F39" s="10"/>
    </row>
    <row r="40" spans="2:7">
      <c r="B40" s="7" t="s">
        <v>120</v>
      </c>
      <c r="F40" s="10"/>
    </row>
    <row r="41" spans="2:7">
      <c r="B41" s="21"/>
      <c r="C41" s="16"/>
      <c r="D41" s="16"/>
      <c r="F41" s="10"/>
    </row>
    <row r="42" spans="2:7">
      <c r="B42"/>
      <c r="C42" s="16"/>
      <c r="D42" s="16"/>
      <c r="F42" s="10"/>
    </row>
    <row r="43" spans="2:7">
      <c r="B43" s="16"/>
      <c r="C43" s="16"/>
      <c r="D43" s="16"/>
      <c r="F43" s="10"/>
    </row>
    <row r="44" spans="2:7">
      <c r="B44" s="16"/>
      <c r="C44" s="16"/>
      <c r="D44" s="16"/>
      <c r="F44" s="10"/>
    </row>
    <row r="45" spans="2:7">
      <c r="B45" s="16"/>
      <c r="C45" s="16"/>
      <c r="D45" s="16"/>
      <c r="F45" s="10"/>
    </row>
    <row r="46" spans="2:7">
      <c r="B46" s="16"/>
      <c r="C46" s="16"/>
      <c r="D46" s="16"/>
      <c r="F46" s="10"/>
    </row>
    <row r="47" spans="2:7">
      <c r="B47" s="16"/>
      <c r="C47" s="16"/>
      <c r="D47" s="16"/>
      <c r="F47" s="10"/>
    </row>
    <row r="48" spans="2:7">
      <c r="B48" s="16"/>
      <c r="C48" s="16"/>
      <c r="D48" s="16"/>
    </row>
    <row r="49" spans="2:4">
      <c r="B49" s="16"/>
      <c r="C49" s="16"/>
      <c r="D49" s="16"/>
    </row>
    <row r="50" spans="2:4">
      <c r="B50" s="16"/>
      <c r="C50" s="16"/>
      <c r="D50" s="16"/>
    </row>
    <row r="51" spans="2:4">
      <c r="B51" s="16"/>
      <c r="C51" s="16"/>
      <c r="D51" s="16"/>
    </row>
    <row r="52" spans="2:4">
      <c r="C52" s="16"/>
      <c r="D52" s="16"/>
    </row>
    <row r="53" spans="2:4">
      <c r="B53" s="16"/>
      <c r="C53" s="16"/>
      <c r="D53" s="16"/>
    </row>
    <row r="54" spans="2:4">
      <c r="B54" s="7" t="s">
        <v>503</v>
      </c>
      <c r="C54" s="16"/>
      <c r="D54" s="16"/>
    </row>
    <row r="55" spans="2:4">
      <c r="B55" s="16"/>
      <c r="C55" s="16"/>
      <c r="D55" s="16"/>
    </row>
    <row r="56" spans="2:4">
      <c r="B56" s="16"/>
      <c r="C56" s="16"/>
      <c r="D56" s="16"/>
    </row>
    <row r="57" spans="2:4">
      <c r="C57" s="16"/>
      <c r="D57" s="16"/>
    </row>
    <row r="58" spans="2:4">
      <c r="B58" s="16"/>
      <c r="C58" s="16"/>
      <c r="D58" s="16"/>
    </row>
    <row r="59" spans="2:4">
      <c r="B59" s="16"/>
      <c r="C59" s="16"/>
      <c r="D59" s="16"/>
    </row>
    <row r="60" spans="2:4">
      <c r="B60" s="16"/>
      <c r="C60" s="16"/>
      <c r="D60" s="16"/>
    </row>
    <row r="61" spans="2:4">
      <c r="B61" s="16"/>
      <c r="C61" s="16"/>
      <c r="D61" s="16"/>
    </row>
    <row r="62" spans="2:4">
      <c r="B62" s="16"/>
      <c r="C62" s="16"/>
      <c r="D62" s="16"/>
    </row>
    <row r="63" spans="2:4">
      <c r="B63" s="16"/>
      <c r="C63" s="16"/>
      <c r="D63" s="16"/>
    </row>
    <row r="64" spans="2:4">
      <c r="B64" s="16"/>
      <c r="C64" s="16"/>
      <c r="D64" s="16"/>
    </row>
    <row r="65" spans="2:4">
      <c r="B65" s="16"/>
      <c r="C65" s="16"/>
      <c r="D65" s="16"/>
    </row>
    <row r="66" spans="2:4">
      <c r="B66" s="16"/>
      <c r="C66" s="16"/>
      <c r="D66" s="16"/>
    </row>
    <row r="67" spans="2:4">
      <c r="B67" s="16"/>
      <c r="C67" s="16"/>
      <c r="D67" s="16"/>
    </row>
    <row r="68" spans="2:4">
      <c r="B68" s="16"/>
      <c r="C68" s="16"/>
      <c r="D68" s="16"/>
    </row>
    <row r="69" spans="2:4">
      <c r="B69" s="16"/>
      <c r="C69" s="16"/>
      <c r="D69" s="16"/>
    </row>
    <row r="70" spans="2:4">
      <c r="B70" s="16"/>
      <c r="C70" s="16"/>
      <c r="D70" s="16"/>
    </row>
    <row r="71" spans="2:4">
      <c r="B71" s="16"/>
      <c r="C71" s="16"/>
      <c r="D71" s="16"/>
    </row>
    <row r="72" spans="2:4">
      <c r="B72" s="16"/>
      <c r="C72" s="16"/>
      <c r="D72" s="16"/>
    </row>
    <row r="73" spans="2:4">
      <c r="B73" s="16"/>
      <c r="C73" s="16"/>
      <c r="D73" s="16"/>
    </row>
    <row r="74" spans="2:4">
      <c r="B74" s="16"/>
      <c r="C74" s="16"/>
      <c r="D74" s="16"/>
    </row>
    <row r="75" spans="2:4">
      <c r="B75" s="16"/>
      <c r="C75" s="16"/>
      <c r="D75" s="16"/>
    </row>
    <row r="76" spans="2:4">
      <c r="B76" s="16"/>
      <c r="C76" s="16"/>
      <c r="D76" s="16"/>
    </row>
    <row r="77" spans="2:4">
      <c r="B77" s="16"/>
      <c r="C77" s="16"/>
      <c r="D77" s="16"/>
    </row>
    <row r="78" spans="2:4">
      <c r="B78" s="16"/>
      <c r="C78" s="16"/>
      <c r="D78" s="16"/>
    </row>
  </sheetData>
  <dataConsolidate/>
  <mergeCells count="4">
    <mergeCell ref="C9:D9"/>
    <mergeCell ref="B12:C12"/>
    <mergeCell ref="C2:F2"/>
    <mergeCell ref="B23:C23"/>
  </mergeCells>
  <phoneticPr fontId="7" type="noConversion"/>
  <conditionalFormatting sqref="F6">
    <cfRule type="cellIs" dxfId="8" priority="2" stopIfTrue="1" operator="equal">
      <formula>"SI"</formula>
    </cfRule>
  </conditionalFormatting>
  <conditionalFormatting sqref="F12">
    <cfRule type="colorScale" priority="1">
      <colorScale>
        <cfvo type="min"/>
        <cfvo type="percentile" val="50"/>
        <cfvo type="max"/>
        <color rgb="FF63BE7B"/>
        <color rgb="FFFFEB84"/>
        <color rgb="FFF8696B"/>
      </colorScale>
    </cfRule>
  </conditionalFormatting>
  <dataValidations count="8">
    <dataValidation type="list" allowBlank="1" showInputMessage="1" showErrorMessage="1" sqref="C34">
      <formula1>Consultor</formula1>
    </dataValidation>
    <dataValidation type="list" allowBlank="1" showInputMessage="1" showErrorMessage="1" sqref="C35">
      <formula1>Jefe_de_Fábrica</formula1>
    </dataValidation>
    <dataValidation type="list" allowBlank="1" showInputMessage="1" showErrorMessage="1" sqref="C36">
      <formula1>Analista</formula1>
    </dataValidation>
    <dataValidation type="list" allowBlank="1" showInputMessage="1" showErrorMessage="1" sqref="C37">
      <formula1>Analista_de_Calidad</formula1>
    </dataValidation>
    <dataValidation type="list" allowBlank="1" showInputMessage="1" showErrorMessage="1" sqref="C10">
      <formula1>TAB_PRIORIDAD</formula1>
    </dataValidation>
    <dataValidation type="list" allowBlank="1" showInputMessage="1" showErrorMessage="1" sqref="C13:C14">
      <formula1>TAB_SOLICITUD</formula1>
    </dataValidation>
    <dataValidation type="list" allowBlank="1" showInputMessage="1" showErrorMessage="1" sqref="C6">
      <formula1>TAB_LINEA</formula1>
    </dataValidation>
    <dataValidation type="list" allowBlank="1" showInputMessage="1" showErrorMessage="1" sqref="C7">
      <formula1>TAB_TIPO_OT</formula1>
    </dataValidation>
  </dataValidations>
  <pageMargins left="0.5" right="0.15748031496062992" top="1.19" bottom="0.98425196850393704" header="0.31496062992125984" footer="0.51181102362204722"/>
  <pageSetup paperSize="9" scale="13" orientation="portrait" r:id="rId1"/>
  <headerFooter scaleWithDoc="0" alignWithMargins="0">
    <oddHeader>&amp;C&amp;F&amp;D</oddHeader>
  </headerFooter>
  <drawing r:id="rId2"/>
  <legacyDrawing r:id="rId3"/>
  <oleObjects>
    <mc:AlternateContent xmlns:mc="http://schemas.openxmlformats.org/markup-compatibility/2006">
      <mc:Choice Requires="x14">
        <oleObject progId="PBrush" shapeId="5182" r:id="rId4">
          <objectPr defaultSize="0" autoPict="0" r:id="rId5">
            <anchor moveWithCells="1" sizeWithCells="1">
              <from>
                <xdr:col>1</xdr:col>
                <xdr:colOff>428625</xdr:colOff>
                <xdr:row>1</xdr:row>
                <xdr:rowOff>38100</xdr:rowOff>
              </from>
              <to>
                <xdr:col>1</xdr:col>
                <xdr:colOff>1343025</xdr:colOff>
                <xdr:row>2</xdr:row>
                <xdr:rowOff>0</xdr:rowOff>
              </to>
            </anchor>
          </objectPr>
        </oleObject>
      </mc:Choice>
      <mc:Fallback>
        <oleObject progId="PBrush" shapeId="5182" r:id="rId4"/>
      </mc:Fallback>
    </mc:AlternateContent>
  </oleObjects>
  <mc:AlternateContent xmlns:mc="http://schemas.openxmlformats.org/markup-compatibility/2006">
    <mc:Choice Requires="x14">
      <controls>
        <mc:AlternateContent xmlns:mc="http://schemas.openxmlformats.org/markup-compatibility/2006">
          <mc:Choice Requires="x14">
            <control shapeId="5175" r:id="rId6" name="Button 55">
              <controlPr defaultSize="0" print="0" autoFill="0" autoPict="0" macro="[0]!Button55_Click">
                <anchor>
                  <from>
                    <xdr:col>3</xdr:col>
                    <xdr:colOff>371475</xdr:colOff>
                    <xdr:row>14</xdr:row>
                    <xdr:rowOff>0</xdr:rowOff>
                  </from>
                  <to>
                    <xdr:col>3</xdr:col>
                    <xdr:colOff>1552575</xdr:colOff>
                    <xdr:row>15</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3:J18"/>
  <sheetViews>
    <sheetView showGridLines="0" topLeftCell="A2" workbookViewId="0">
      <pane xSplit="1" ySplit="7" topLeftCell="B9" activePane="bottomRight" state="frozen"/>
      <selection activeCell="A2" sqref="A2"/>
      <selection pane="topRight" activeCell="B2" sqref="B2"/>
      <selection pane="bottomLeft" activeCell="A7" sqref="A7"/>
      <selection pane="bottomRight" activeCell="C12" sqref="C12"/>
    </sheetView>
  </sheetViews>
  <sheetFormatPr baseColWidth="10" defaultColWidth="11.42578125" defaultRowHeight="25.5"/>
  <cols>
    <col min="1" max="1" width="2.140625" style="47" customWidth="1"/>
    <col min="2" max="2" width="35.140625" style="47" customWidth="1"/>
    <col min="3" max="3" width="13.7109375" style="57" customWidth="1"/>
    <col min="4" max="4" width="16.42578125" style="58" hidden="1" customWidth="1"/>
    <col min="5" max="5" width="12.140625" style="58" bestFit="1" customWidth="1"/>
    <col min="6" max="6" width="15.42578125" style="58" bestFit="1" customWidth="1"/>
    <col min="7" max="7" width="16.5703125" style="58" bestFit="1" customWidth="1"/>
    <col min="8" max="8" width="14" style="57" bestFit="1" customWidth="1"/>
    <col min="9" max="9" width="19" style="47" customWidth="1"/>
    <col min="10" max="10" width="29.5703125" style="47" customWidth="1"/>
    <col min="11" max="16384" width="11.42578125" style="47"/>
  </cols>
  <sheetData>
    <row r="3" spans="1:10" s="68" customFormat="1" ht="46.5" customHeight="1">
      <c r="A3" s="69"/>
      <c r="B3" s="71"/>
      <c r="C3" s="342" t="s">
        <v>323</v>
      </c>
      <c r="D3" s="343"/>
      <c r="E3" s="343"/>
      <c r="F3" s="343"/>
      <c r="G3" s="343"/>
      <c r="H3" s="343"/>
      <c r="I3" s="344"/>
      <c r="J3" s="70"/>
    </row>
    <row r="4" spans="1:10" s="68" customFormat="1" ht="17.25" customHeight="1">
      <c r="A4" s="69"/>
      <c r="B4" s="190"/>
      <c r="C4" s="181"/>
      <c r="D4" s="181"/>
      <c r="E4" s="181"/>
      <c r="F4" s="181"/>
      <c r="G4" s="181"/>
      <c r="H4" s="181"/>
      <c r="I4" s="181"/>
      <c r="J4" s="119"/>
    </row>
    <row r="5" spans="1:10" ht="12.75">
      <c r="B5" s="43" t="s">
        <v>58</v>
      </c>
      <c r="C5" s="44"/>
      <c r="D5" s="45"/>
      <c r="E5" s="45"/>
      <c r="F5" s="45"/>
      <c r="G5" s="45"/>
      <c r="H5" s="45"/>
      <c r="I5" s="46"/>
      <c r="J5" s="46"/>
    </row>
    <row r="6" spans="1:10" ht="12.75">
      <c r="B6" s="46"/>
      <c r="C6" s="45"/>
      <c r="D6" s="45"/>
      <c r="E6" s="45"/>
      <c r="F6" s="45"/>
      <c r="G6" s="45"/>
      <c r="H6" s="45"/>
      <c r="I6" s="46"/>
      <c r="J6" s="46"/>
    </row>
    <row r="7" spans="1:10" s="49" customFormat="1" ht="12.75" customHeight="1">
      <c r="B7" s="357" t="s">
        <v>55</v>
      </c>
      <c r="C7" s="357" t="s">
        <v>101</v>
      </c>
      <c r="D7" s="360" t="s">
        <v>92</v>
      </c>
      <c r="E7" s="360" t="s">
        <v>37</v>
      </c>
      <c r="F7" s="360"/>
      <c r="G7" s="360"/>
      <c r="H7" s="361" t="s">
        <v>77</v>
      </c>
      <c r="I7" s="357" t="s">
        <v>83</v>
      </c>
      <c r="J7" s="357" t="s">
        <v>102</v>
      </c>
    </row>
    <row r="8" spans="1:10" s="50" customFormat="1">
      <c r="B8" s="359"/>
      <c r="C8" s="359"/>
      <c r="D8" s="357"/>
      <c r="E8" s="48" t="s">
        <v>97</v>
      </c>
      <c r="F8" s="48" t="s">
        <v>98</v>
      </c>
      <c r="G8" s="48" t="s">
        <v>99</v>
      </c>
      <c r="H8" s="362"/>
      <c r="I8" s="358"/>
      <c r="J8" s="358"/>
    </row>
    <row r="9" spans="1:10" ht="27.75" hidden="1" customHeight="1">
      <c r="B9" s="51" t="s">
        <v>91</v>
      </c>
      <c r="C9" s="111" t="s">
        <v>139</v>
      </c>
      <c r="D9" s="53" t="s">
        <v>88</v>
      </c>
      <c r="E9" s="53"/>
      <c r="F9" s="53"/>
      <c r="G9" s="53"/>
      <c r="H9" s="54" t="s">
        <v>79</v>
      </c>
      <c r="I9" s="55" t="s">
        <v>28</v>
      </c>
      <c r="J9" s="52" t="s">
        <v>85</v>
      </c>
    </row>
    <row r="10" spans="1:10" ht="27.75" customHeight="1">
      <c r="B10" s="61" t="s">
        <v>350</v>
      </c>
      <c r="C10" s="123" t="s">
        <v>135</v>
      </c>
      <c r="D10" s="53"/>
      <c r="E10" s="53" t="s">
        <v>88</v>
      </c>
      <c r="F10" s="53" t="s">
        <v>88</v>
      </c>
      <c r="G10" s="53" t="s">
        <v>88</v>
      </c>
      <c r="H10" s="54" t="s">
        <v>79</v>
      </c>
      <c r="I10" s="55" t="s">
        <v>28</v>
      </c>
      <c r="J10" s="52" t="s">
        <v>85</v>
      </c>
    </row>
    <row r="11" spans="1:10" ht="45" customHeight="1">
      <c r="B11" s="61" t="s">
        <v>314</v>
      </c>
      <c r="C11" s="240" t="s">
        <v>135</v>
      </c>
      <c r="D11" s="53"/>
      <c r="E11" s="53"/>
      <c r="F11" s="53"/>
      <c r="G11" s="53" t="s">
        <v>89</v>
      </c>
      <c r="H11" s="163" t="s">
        <v>222</v>
      </c>
      <c r="I11" s="55" t="s">
        <v>28</v>
      </c>
      <c r="J11" s="164" t="s">
        <v>376</v>
      </c>
    </row>
    <row r="12" spans="1:10" ht="45" customHeight="1">
      <c r="B12" s="61" t="s">
        <v>315</v>
      </c>
      <c r="C12" s="240" t="s">
        <v>135</v>
      </c>
      <c r="D12" s="53"/>
      <c r="E12" s="53" t="s">
        <v>88</v>
      </c>
      <c r="F12" s="53" t="s">
        <v>88</v>
      </c>
      <c r="G12" s="53" t="s">
        <v>88</v>
      </c>
      <c r="H12" s="54" t="s">
        <v>80</v>
      </c>
      <c r="I12" s="55" t="s">
        <v>28</v>
      </c>
      <c r="J12" s="164" t="s">
        <v>376</v>
      </c>
    </row>
    <row r="13" spans="1:10" ht="27.75" customHeight="1">
      <c r="B13" s="61" t="s">
        <v>383</v>
      </c>
      <c r="C13" s="261" t="s">
        <v>135</v>
      </c>
      <c r="D13" s="53" t="s">
        <v>88</v>
      </c>
      <c r="E13" s="53" t="s">
        <v>88</v>
      </c>
      <c r="F13" s="53" t="s">
        <v>88</v>
      </c>
      <c r="G13" s="53" t="s">
        <v>88</v>
      </c>
      <c r="H13" s="54" t="s">
        <v>81</v>
      </c>
      <c r="I13" s="55" t="s">
        <v>28</v>
      </c>
      <c r="J13" s="123" t="s">
        <v>85</v>
      </c>
    </row>
    <row r="14" spans="1:10" ht="27.75" customHeight="1">
      <c r="B14" s="61" t="s">
        <v>384</v>
      </c>
      <c r="C14" s="111" t="s">
        <v>135</v>
      </c>
      <c r="D14" s="53" t="s">
        <v>88</v>
      </c>
      <c r="E14" s="53" t="s">
        <v>88</v>
      </c>
      <c r="F14" s="53" t="s">
        <v>88</v>
      </c>
      <c r="G14" s="53" t="s">
        <v>88</v>
      </c>
      <c r="H14" s="54" t="s">
        <v>81</v>
      </c>
      <c r="I14" s="55" t="s">
        <v>82</v>
      </c>
      <c r="J14" s="52" t="s">
        <v>85</v>
      </c>
    </row>
    <row r="15" spans="1:10" ht="63.75">
      <c r="B15" s="61" t="s">
        <v>385</v>
      </c>
      <c r="C15" s="42" t="s">
        <v>139</v>
      </c>
      <c r="D15" s="53"/>
      <c r="E15" s="53" t="s">
        <v>89</v>
      </c>
      <c r="F15" s="53" t="s">
        <v>89</v>
      </c>
      <c r="G15" s="53" t="s">
        <v>89</v>
      </c>
      <c r="H15" s="54" t="s">
        <v>81</v>
      </c>
      <c r="I15" s="55" t="s">
        <v>82</v>
      </c>
      <c r="J15" s="55" t="s">
        <v>103</v>
      </c>
    </row>
    <row r="16" spans="1:10" ht="51">
      <c r="B16" s="61" t="s">
        <v>386</v>
      </c>
      <c r="C16" s="42" t="s">
        <v>139</v>
      </c>
      <c r="D16" s="53"/>
      <c r="E16" s="53" t="s">
        <v>89</v>
      </c>
      <c r="F16" s="53" t="s">
        <v>89</v>
      </c>
      <c r="G16" s="53" t="s">
        <v>89</v>
      </c>
      <c r="H16" s="54" t="s">
        <v>81</v>
      </c>
      <c r="I16" s="55" t="s">
        <v>82</v>
      </c>
      <c r="J16" s="164" t="s">
        <v>377</v>
      </c>
    </row>
    <row r="17" spans="2:10" ht="51">
      <c r="B17" s="61" t="s">
        <v>316</v>
      </c>
      <c r="C17" s="111" t="s">
        <v>135</v>
      </c>
      <c r="D17" s="53" t="s">
        <v>88</v>
      </c>
      <c r="E17" s="53" t="s">
        <v>88</v>
      </c>
      <c r="F17" s="53" t="s">
        <v>88</v>
      </c>
      <c r="G17" s="53" t="s">
        <v>88</v>
      </c>
      <c r="H17" s="54" t="s">
        <v>46</v>
      </c>
      <c r="I17" s="55" t="s">
        <v>82</v>
      </c>
      <c r="J17" s="55" t="s">
        <v>125</v>
      </c>
    </row>
    <row r="18" spans="2:10">
      <c r="B18" s="56"/>
    </row>
  </sheetData>
  <sheetProtection sheet="1" objects="1" scenarios="1" selectLockedCells="1"/>
  <protectedRanges>
    <protectedRange sqref="C9:C17" name="Range1"/>
  </protectedRanges>
  <mergeCells count="8">
    <mergeCell ref="C3:I3"/>
    <mergeCell ref="J7:J8"/>
    <mergeCell ref="I7:I8"/>
    <mergeCell ref="B7:B8"/>
    <mergeCell ref="D7:D8"/>
    <mergeCell ref="E7:G7"/>
    <mergeCell ref="H7:H8"/>
    <mergeCell ref="C7:C8"/>
  </mergeCells>
  <phoneticPr fontId="7" type="noConversion"/>
  <conditionalFormatting sqref="J9:J17">
    <cfRule type="expression" dxfId="7" priority="18" stopIfTrue="1">
      <formula>#REF!&lt;&gt;""</formula>
    </cfRule>
  </conditionalFormatting>
  <conditionalFormatting sqref="D9:D17">
    <cfRule type="expression" dxfId="6" priority="19" stopIfTrue="1">
      <formula>AND(TipoOt="Correctiva")</formula>
    </cfRule>
  </conditionalFormatting>
  <conditionalFormatting sqref="E9:E17">
    <cfRule type="expression" dxfId="5" priority="20" stopIfTrue="1">
      <formula>AND(TipoOt="Evolutiva",AND(horas&gt;=0.0001,horas&lt;=32))</formula>
    </cfRule>
    <cfRule type="expression" dxfId="4" priority="21" stopIfTrue="1">
      <formula>AND(TipoOt="Extracción de Datos",AND(horas&gt;=0.0001,horas&lt;=32))</formula>
    </cfRule>
  </conditionalFormatting>
  <conditionalFormatting sqref="F9:F17">
    <cfRule type="expression" dxfId="3" priority="22" stopIfTrue="1">
      <formula>AND(TipoOt="Evolutiva",AND(horas&gt;=33,horas&lt;=176))</formula>
    </cfRule>
    <cfRule type="expression" dxfId="2" priority="23" stopIfTrue="1">
      <formula>AND(TipoOt="Extracción de Datos",AND(horas&gt;=33,horas&lt;=176))</formula>
    </cfRule>
  </conditionalFormatting>
  <conditionalFormatting sqref="G9:G17">
    <cfRule type="expression" dxfId="1" priority="24" stopIfTrue="1">
      <formula>AND(TipoOt="Evolutiva",AND(horas&gt;=177,horas&lt;=352))</formula>
    </cfRule>
    <cfRule type="expression" dxfId="0" priority="25" stopIfTrue="1">
      <formula>AND(TipoOt="Extracción de Datos",AND(horas&gt;=177,horas&lt;=352))</formula>
    </cfRule>
  </conditionalFormatting>
  <dataValidations count="2">
    <dataValidation type="list" allowBlank="1" showInputMessage="1" showErrorMessage="1" sqref="I9:I17">
      <formula1>Rol</formula1>
    </dataValidation>
    <dataValidation type="list" allowBlank="1" showInputMessage="1" showErrorMessage="1" sqref="C9:C17">
      <formula1>"Si,No"</formula1>
    </dataValidation>
  </dataValidations>
  <pageMargins left="1.47" right="0.75" top="1" bottom="1" header="0.5" footer="0.5"/>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2:J56"/>
  <sheetViews>
    <sheetView showGridLines="0" workbookViewId="0">
      <selection activeCell="D19" sqref="D19"/>
    </sheetView>
  </sheetViews>
  <sheetFormatPr baseColWidth="10" defaultColWidth="9.140625" defaultRowHeight="12.75"/>
  <cols>
    <col min="1" max="1" width="3.140625" customWidth="1"/>
    <col min="2" max="2" width="6" customWidth="1"/>
    <col min="3" max="3" width="24" customWidth="1"/>
    <col min="4" max="4" width="47.28515625" customWidth="1"/>
    <col min="5" max="5" width="20.85546875" customWidth="1"/>
    <col min="6" max="6" width="13.7109375" customWidth="1"/>
    <col min="7" max="7" width="11.28515625" customWidth="1"/>
    <col min="8" max="8" width="10.5703125" customWidth="1"/>
  </cols>
  <sheetData>
    <row r="2" spans="1:10" s="68" customFormat="1" ht="42" customHeight="1">
      <c r="A2" s="69"/>
      <c r="B2" s="363"/>
      <c r="C2" s="364"/>
      <c r="D2" s="342" t="s">
        <v>323</v>
      </c>
      <c r="E2" s="343"/>
      <c r="F2" s="344"/>
      <c r="G2" s="342"/>
      <c r="H2" s="344"/>
      <c r="I2" s="119"/>
      <c r="J2" s="119"/>
    </row>
    <row r="3" spans="1:10" ht="14.25" customHeight="1">
      <c r="B3" s="189"/>
      <c r="C3" s="189"/>
      <c r="D3" s="208"/>
      <c r="E3" s="208"/>
      <c r="F3" s="208"/>
      <c r="G3" s="208"/>
      <c r="H3" s="208"/>
      <c r="I3" s="207"/>
      <c r="J3" s="207"/>
    </row>
    <row r="4" spans="1:10">
      <c r="B4" s="4" t="s">
        <v>59</v>
      </c>
    </row>
    <row r="5" spans="1:10">
      <c r="B5" s="5"/>
    </row>
    <row r="6" spans="1:10">
      <c r="B6" s="116" t="s">
        <v>4</v>
      </c>
      <c r="C6" s="116" t="s">
        <v>29</v>
      </c>
      <c r="D6" s="365" t="s">
        <v>47</v>
      </c>
      <c r="E6" s="366"/>
    </row>
    <row r="7" spans="1:10" ht="38.25" customHeight="1">
      <c r="B7" s="40">
        <v>1</v>
      </c>
      <c r="C7" s="34" t="s">
        <v>29</v>
      </c>
      <c r="D7" s="352" t="s">
        <v>447</v>
      </c>
      <c r="E7" s="369"/>
    </row>
    <row r="8" spans="1:10" ht="25.5">
      <c r="B8" s="40">
        <f>+B7+1</f>
        <v>2</v>
      </c>
      <c r="C8" s="34" t="s">
        <v>29</v>
      </c>
      <c r="D8" s="269" t="s">
        <v>499</v>
      </c>
      <c r="E8" s="285"/>
    </row>
    <row r="9" spans="1:10" ht="25.5" customHeight="1">
      <c r="B9" s="40">
        <f t="shared" ref="B9:B16" si="0">+B8+1</f>
        <v>3</v>
      </c>
      <c r="C9" s="34"/>
      <c r="D9" s="370"/>
      <c r="E9" s="371"/>
    </row>
    <row r="10" spans="1:10">
      <c r="B10" s="40">
        <f t="shared" si="0"/>
        <v>4</v>
      </c>
      <c r="C10" s="34"/>
      <c r="D10" s="268"/>
      <c r="E10" s="267"/>
    </row>
    <row r="11" spans="1:10">
      <c r="B11" s="41">
        <f t="shared" si="0"/>
        <v>5</v>
      </c>
      <c r="C11" s="34"/>
      <c r="D11" s="268"/>
      <c r="E11" s="267"/>
    </row>
    <row r="12" spans="1:10">
      <c r="B12" s="41">
        <f t="shared" si="0"/>
        <v>6</v>
      </c>
      <c r="C12" s="34"/>
      <c r="D12" s="268"/>
      <c r="E12" s="267"/>
    </row>
    <row r="13" spans="1:10">
      <c r="B13" s="40">
        <f t="shared" si="0"/>
        <v>7</v>
      </c>
      <c r="C13" s="34"/>
      <c r="D13" s="268"/>
      <c r="E13" s="267"/>
    </row>
    <row r="14" spans="1:10">
      <c r="B14" s="40">
        <f t="shared" si="0"/>
        <v>8</v>
      </c>
      <c r="C14" s="34"/>
      <c r="D14" s="268"/>
      <c r="E14" s="267"/>
    </row>
    <row r="15" spans="1:10">
      <c r="B15" s="40">
        <f t="shared" si="0"/>
        <v>9</v>
      </c>
      <c r="C15" s="34"/>
      <c r="D15" s="268"/>
      <c r="E15" s="267"/>
    </row>
    <row r="16" spans="1:10">
      <c r="B16" s="41">
        <f t="shared" si="0"/>
        <v>10</v>
      </c>
      <c r="C16" s="34"/>
      <c r="D16" s="268"/>
      <c r="E16" s="267"/>
    </row>
    <row r="18" spans="2:8">
      <c r="B18" s="5"/>
    </row>
    <row r="19" spans="2:8">
      <c r="B19" s="4" t="s">
        <v>60</v>
      </c>
    </row>
    <row r="20" spans="2:8">
      <c r="B20" s="5"/>
    </row>
    <row r="21" spans="2:8">
      <c r="F21" s="367" t="s">
        <v>23</v>
      </c>
      <c r="G21" s="368"/>
    </row>
    <row r="22" spans="2:8">
      <c r="B22" s="117" t="s">
        <v>4</v>
      </c>
      <c r="C22" s="117" t="s">
        <v>32</v>
      </c>
      <c r="D22" s="117" t="s">
        <v>20</v>
      </c>
      <c r="E22" s="117" t="s">
        <v>21</v>
      </c>
      <c r="F22" s="117" t="s">
        <v>6</v>
      </c>
      <c r="G22" s="117" t="s">
        <v>7</v>
      </c>
      <c r="H22" s="117" t="s">
        <v>22</v>
      </c>
    </row>
    <row r="23" spans="2:8" ht="25.5">
      <c r="B23" s="113">
        <v>1</v>
      </c>
      <c r="C23" s="286" t="s">
        <v>498</v>
      </c>
      <c r="D23" s="284" t="s">
        <v>450</v>
      </c>
      <c r="E23" s="286" t="s">
        <v>497</v>
      </c>
      <c r="F23" s="287">
        <v>42488</v>
      </c>
      <c r="G23" s="287">
        <v>42488</v>
      </c>
      <c r="H23" s="34"/>
    </row>
    <row r="24" spans="2:8">
      <c r="B24" s="113">
        <v>2</v>
      </c>
      <c r="C24" s="286" t="s">
        <v>498</v>
      </c>
      <c r="D24" s="284" t="s">
        <v>500</v>
      </c>
      <c r="E24" s="286" t="s">
        <v>497</v>
      </c>
      <c r="F24" s="287">
        <v>42488</v>
      </c>
      <c r="G24" s="287">
        <v>42488</v>
      </c>
      <c r="H24" s="34"/>
    </row>
    <row r="25" spans="2:8">
      <c r="B25" s="113"/>
      <c r="C25" s="34"/>
      <c r="D25" s="34"/>
      <c r="E25" s="34"/>
      <c r="F25" s="34"/>
      <c r="G25" s="34"/>
      <c r="H25" s="34"/>
    </row>
    <row r="26" spans="2:8">
      <c r="B26" s="113"/>
      <c r="C26" s="34"/>
      <c r="D26" s="34"/>
      <c r="E26" s="34"/>
      <c r="F26" s="34"/>
      <c r="G26" s="34"/>
      <c r="H26" s="34"/>
    </row>
    <row r="27" spans="2:8">
      <c r="B27" s="113"/>
      <c r="C27" s="34"/>
      <c r="D27" s="34"/>
      <c r="E27" s="34"/>
      <c r="F27" s="34"/>
      <c r="G27" s="34"/>
      <c r="H27" s="34"/>
    </row>
    <row r="28" spans="2:8">
      <c r="B28" s="113"/>
      <c r="C28" s="34"/>
      <c r="D28" s="34"/>
      <c r="E28" s="34"/>
      <c r="F28" s="34"/>
      <c r="G28" s="34"/>
      <c r="H28" s="34"/>
    </row>
    <row r="29" spans="2:8">
      <c r="B29" s="113"/>
      <c r="C29" s="34"/>
      <c r="D29" s="34"/>
      <c r="E29" s="34"/>
      <c r="F29" s="34"/>
      <c r="G29" s="34"/>
      <c r="H29" s="34"/>
    </row>
    <row r="30" spans="2:8">
      <c r="B30" s="113"/>
      <c r="C30" s="34"/>
      <c r="D30" s="34"/>
      <c r="E30" s="34"/>
      <c r="F30" s="34"/>
      <c r="G30" s="34"/>
      <c r="H30" s="34"/>
    </row>
    <row r="32" spans="2:8">
      <c r="B32" s="5"/>
    </row>
    <row r="33" spans="2:5">
      <c r="B33" s="5"/>
    </row>
    <row r="34" spans="2:5">
      <c r="B34" s="5"/>
    </row>
    <row r="35" spans="2:5">
      <c r="B35" s="4" t="s">
        <v>61</v>
      </c>
      <c r="C35" s="4"/>
      <c r="D35" s="4"/>
    </row>
    <row r="37" spans="2:5">
      <c r="B37" s="117" t="s">
        <v>4</v>
      </c>
      <c r="C37" s="367" t="s">
        <v>16</v>
      </c>
      <c r="D37" s="375"/>
      <c r="E37" s="368"/>
    </row>
    <row r="38" spans="2:5">
      <c r="B38" s="113">
        <v>1</v>
      </c>
      <c r="C38" s="372" t="s">
        <v>449</v>
      </c>
      <c r="D38" s="373"/>
      <c r="E38" s="374"/>
    </row>
    <row r="39" spans="2:5">
      <c r="B39" s="113">
        <v>2</v>
      </c>
      <c r="C39" s="372"/>
      <c r="D39" s="373"/>
      <c r="E39" s="374"/>
    </row>
    <row r="40" spans="2:5">
      <c r="B40" s="113">
        <v>3</v>
      </c>
      <c r="C40" s="372"/>
      <c r="D40" s="373"/>
      <c r="E40" s="374"/>
    </row>
    <row r="41" spans="2:5">
      <c r="B41" s="113"/>
      <c r="C41" s="372"/>
      <c r="D41" s="373"/>
      <c r="E41" s="374"/>
    </row>
    <row r="43" spans="2:5">
      <c r="B43" s="5"/>
    </row>
    <row r="49" spans="2:2">
      <c r="B49" s="5"/>
    </row>
    <row r="50" spans="2:2">
      <c r="B50" s="5"/>
    </row>
    <row r="53" spans="2:2">
      <c r="B53" s="5"/>
    </row>
    <row r="54" spans="2:2">
      <c r="B54" s="5"/>
    </row>
    <row r="55" spans="2:2">
      <c r="B55" s="5"/>
    </row>
    <row r="56" spans="2:2">
      <c r="B56" s="5"/>
    </row>
  </sheetData>
  <mergeCells count="12">
    <mergeCell ref="C41:E41"/>
    <mergeCell ref="C37:E37"/>
    <mergeCell ref="C38:E38"/>
    <mergeCell ref="C39:E39"/>
    <mergeCell ref="C40:E40"/>
    <mergeCell ref="B2:C2"/>
    <mergeCell ref="D6:E6"/>
    <mergeCell ref="G2:H2"/>
    <mergeCell ref="D2:F2"/>
    <mergeCell ref="F21:G21"/>
    <mergeCell ref="D7:E7"/>
    <mergeCell ref="D9:E9"/>
  </mergeCells>
  <phoneticPr fontId="7" type="noConversion"/>
  <dataValidations count="1">
    <dataValidation type="list" allowBlank="1" showInputMessage="1" showErrorMessage="1" sqref="C7:C16">
      <formula1>TAB_SOLICITUD</formula1>
    </dataValidation>
  </dataValidations>
  <pageMargins left="1.07" right="0.75" top="1" bottom="1" header="0.5" footer="0.5"/>
  <pageSetup paperSize="9" orientation="portrait" verticalDpi="0"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I267"/>
  <sheetViews>
    <sheetView showGridLines="0" topLeftCell="A4" workbookViewId="0">
      <selection activeCell="H16" sqref="H16"/>
    </sheetView>
  </sheetViews>
  <sheetFormatPr baseColWidth="10" defaultColWidth="11.42578125" defaultRowHeight="12.75"/>
  <cols>
    <col min="2" max="2" width="12.28515625" bestFit="1" customWidth="1"/>
    <col min="5" max="5" width="21" customWidth="1"/>
    <col min="8" max="8" width="17" customWidth="1"/>
  </cols>
  <sheetData>
    <row r="1" spans="1:9">
      <c r="A1" s="125"/>
      <c r="B1" s="125"/>
      <c r="C1" s="125"/>
      <c r="D1" s="125"/>
      <c r="E1" s="125"/>
      <c r="F1" s="125"/>
      <c r="G1" s="125"/>
      <c r="H1" s="125"/>
      <c r="I1" s="125"/>
    </row>
    <row r="2" spans="1:9" ht="44.25" customHeight="1">
      <c r="A2" s="126"/>
      <c r="B2" s="380"/>
      <c r="C2" s="381"/>
      <c r="D2" s="342" t="s">
        <v>323</v>
      </c>
      <c r="E2" s="343"/>
      <c r="F2" s="343"/>
      <c r="G2" s="344"/>
      <c r="H2" s="199"/>
      <c r="I2" s="68"/>
    </row>
    <row r="3" spans="1:9" ht="15.75" customHeight="1">
      <c r="A3" s="126"/>
      <c r="B3" s="209"/>
      <c r="C3" s="209"/>
      <c r="D3" s="181"/>
      <c r="E3" s="181"/>
      <c r="F3" s="181"/>
      <c r="G3" s="181"/>
      <c r="H3" s="210"/>
      <c r="I3" s="68"/>
    </row>
    <row r="4" spans="1:9" ht="18">
      <c r="A4" s="125"/>
      <c r="B4" s="127" t="s">
        <v>144</v>
      </c>
      <c r="C4" s="127"/>
      <c r="D4" s="125"/>
      <c r="E4" s="125"/>
      <c r="F4" s="125"/>
      <c r="G4" s="125"/>
      <c r="H4" s="125"/>
      <c r="I4" s="125"/>
    </row>
    <row r="5" spans="1:9" ht="18">
      <c r="A5" s="125"/>
      <c r="B5" s="127"/>
      <c r="C5" s="127"/>
      <c r="D5" s="125"/>
      <c r="E5" s="125"/>
      <c r="F5" s="125"/>
      <c r="G5" s="125"/>
      <c r="H5" s="125"/>
      <c r="I5" s="125"/>
    </row>
    <row r="6" spans="1:9">
      <c r="A6" s="125"/>
      <c r="B6" s="376" t="s">
        <v>145</v>
      </c>
      <c r="C6" s="377"/>
      <c r="D6" s="378"/>
      <c r="E6" s="200" t="str">
        <f>IF(NOT(ISBLANK(General!C6)),General!C6," ")</f>
        <v>LP08</v>
      </c>
      <c r="F6" s="125"/>
      <c r="G6" s="125"/>
      <c r="H6" s="125"/>
      <c r="I6" s="125"/>
    </row>
    <row r="7" spans="1:9">
      <c r="A7" s="128"/>
      <c r="B7" s="379" t="s">
        <v>146</v>
      </c>
      <c r="C7" s="379"/>
      <c r="D7" s="379"/>
      <c r="E7" s="200" t="str">
        <f>IF(NOT(ISBLANK(General!C34)),General!C34," ")</f>
        <v>Carla Avendaño</v>
      </c>
      <c r="F7" s="130"/>
      <c r="G7" s="131"/>
      <c r="H7" s="131"/>
      <c r="I7" s="131"/>
    </row>
    <row r="8" spans="1:9">
      <c r="A8" s="132"/>
      <c r="B8" s="133"/>
      <c r="C8" s="133"/>
      <c r="D8" s="133"/>
      <c r="E8" s="134"/>
      <c r="F8" s="130"/>
      <c r="G8" s="135"/>
      <c r="H8" s="136" t="s">
        <v>147</v>
      </c>
      <c r="I8" s="135"/>
    </row>
    <row r="9" spans="1:9" ht="18">
      <c r="A9" s="125"/>
      <c r="B9" s="127"/>
      <c r="C9" s="127"/>
      <c r="D9" s="127"/>
      <c r="E9" s="125"/>
      <c r="F9" s="125"/>
      <c r="G9" s="125"/>
      <c r="H9" s="201">
        <f>SUM(H11:H266)</f>
        <v>28</v>
      </c>
      <c r="I9" s="125"/>
    </row>
    <row r="10" spans="1:9" ht="51">
      <c r="A10" s="137"/>
      <c r="B10" s="136" t="s">
        <v>13</v>
      </c>
      <c r="C10" s="138" t="s">
        <v>179</v>
      </c>
      <c r="D10" s="136" t="s">
        <v>148</v>
      </c>
      <c r="E10" s="136" t="s">
        <v>149</v>
      </c>
      <c r="F10" s="136" t="s">
        <v>150</v>
      </c>
      <c r="G10" s="136" t="s">
        <v>152</v>
      </c>
      <c r="H10" s="136" t="s">
        <v>153</v>
      </c>
      <c r="I10" s="137"/>
    </row>
    <row r="11" spans="1:9" s="251" customFormat="1">
      <c r="A11" s="249"/>
      <c r="B11" s="247">
        <v>8679</v>
      </c>
      <c r="C11" s="129">
        <v>10444</v>
      </c>
      <c r="D11" s="129" t="s">
        <v>431</v>
      </c>
      <c r="E11" s="263" t="s">
        <v>443</v>
      </c>
      <c r="F11" s="129" t="s">
        <v>399</v>
      </c>
      <c r="G11" s="250">
        <v>42486</v>
      </c>
      <c r="H11" s="161">
        <f>SUMIF('Requerimientos del sistema'!$C$10:$C$520,'Requerimientos de usuario'!$D11,'Requerimientos del sistema'!$N$10:$N$520)</f>
        <v>17.5</v>
      </c>
      <c r="I11" s="249"/>
    </row>
    <row r="12" spans="1:9" ht="51">
      <c r="A12" s="125"/>
      <c r="B12" s="247">
        <v>8679</v>
      </c>
      <c r="C12" s="129">
        <v>10444</v>
      </c>
      <c r="D12" s="263" t="s">
        <v>435</v>
      </c>
      <c r="E12" s="263" t="s">
        <v>479</v>
      </c>
      <c r="F12" s="129" t="s">
        <v>399</v>
      </c>
      <c r="G12" s="250">
        <v>42486</v>
      </c>
      <c r="H12" s="161">
        <f>SUMIF('Requerimientos del sistema'!$C$10:$C$520,'Requerimientos de usuario'!$D12,'Requerimientos del sistema'!$N$10:$N$520)</f>
        <v>6</v>
      </c>
      <c r="I12" s="125"/>
    </row>
    <row r="13" spans="1:9" ht="38.25">
      <c r="A13" s="125"/>
      <c r="B13" s="247">
        <v>8679</v>
      </c>
      <c r="C13" s="129">
        <v>10444</v>
      </c>
      <c r="D13" s="263" t="s">
        <v>436</v>
      </c>
      <c r="E13" s="263" t="s">
        <v>448</v>
      </c>
      <c r="F13" s="129" t="s">
        <v>399</v>
      </c>
      <c r="G13" s="250">
        <v>42486</v>
      </c>
      <c r="H13" s="161">
        <f>SUMIF('Requerimientos del sistema'!$C$10:$C$520,'Requerimientos de usuario'!$D13,'Requerimientos del sistema'!$N$10:$N$520)</f>
        <v>4.5</v>
      </c>
      <c r="I13" s="125"/>
    </row>
    <row r="14" spans="1:9">
      <c r="A14" s="125"/>
      <c r="B14" s="140"/>
      <c r="C14" s="140"/>
      <c r="D14" s="263"/>
      <c r="E14" s="263"/>
      <c r="F14" s="263"/>
      <c r="G14" s="250"/>
      <c r="H14" s="161"/>
      <c r="I14" s="125"/>
    </row>
    <row r="15" spans="1:9">
      <c r="A15" s="125"/>
      <c r="B15" s="140"/>
      <c r="C15" s="140"/>
      <c r="D15" s="129"/>
      <c r="E15" s="129"/>
      <c r="F15" s="129"/>
      <c r="G15" s="139"/>
      <c r="H15" s="161"/>
      <c r="I15" s="125"/>
    </row>
    <row r="16" spans="1:9">
      <c r="A16" s="125"/>
      <c r="B16" s="140"/>
      <c r="C16" s="140"/>
      <c r="D16" s="129"/>
      <c r="E16" s="129"/>
      <c r="F16" s="129"/>
      <c r="G16" s="139"/>
      <c r="H16" s="161"/>
      <c r="I16" s="125"/>
    </row>
    <row r="17" spans="1:9">
      <c r="A17" s="125"/>
      <c r="B17" s="140"/>
      <c r="C17" s="140"/>
      <c r="D17" s="129"/>
      <c r="E17" s="129"/>
      <c r="F17" s="129"/>
      <c r="G17" s="139"/>
      <c r="H17" s="161"/>
      <c r="I17" s="125"/>
    </row>
    <row r="18" spans="1:9">
      <c r="A18" s="125"/>
      <c r="B18" s="140"/>
      <c r="C18" s="140"/>
      <c r="D18" s="129"/>
      <c r="E18" s="129"/>
      <c r="F18" s="129"/>
      <c r="G18" s="139"/>
      <c r="H18" s="161"/>
      <c r="I18" s="125"/>
    </row>
    <row r="19" spans="1:9">
      <c r="A19" s="125"/>
      <c r="B19" s="140"/>
      <c r="C19" s="140"/>
      <c r="D19" s="129"/>
      <c r="E19" s="129"/>
      <c r="F19" s="129"/>
      <c r="G19" s="139"/>
      <c r="H19" s="161"/>
      <c r="I19" s="125"/>
    </row>
    <row r="20" spans="1:9">
      <c r="A20" s="125"/>
      <c r="B20" s="140"/>
      <c r="C20" s="140"/>
      <c r="D20" s="129"/>
      <c r="E20" s="129"/>
      <c r="F20" s="129"/>
      <c r="G20" s="139"/>
      <c r="H20" s="161"/>
      <c r="I20" s="125"/>
    </row>
    <row r="21" spans="1:9">
      <c r="A21" s="125"/>
      <c r="B21" s="140"/>
      <c r="C21" s="140"/>
      <c r="D21" s="129"/>
      <c r="E21" s="129"/>
      <c r="F21" s="129"/>
      <c r="G21" s="139"/>
      <c r="H21" s="161"/>
      <c r="I21" s="125"/>
    </row>
    <row r="22" spans="1:9">
      <c r="A22" s="125"/>
      <c r="B22" s="140"/>
      <c r="C22" s="140"/>
      <c r="D22" s="129"/>
      <c r="E22" s="129"/>
      <c r="F22" s="129"/>
      <c r="G22" s="139"/>
      <c r="H22" s="161"/>
      <c r="I22" s="125"/>
    </row>
    <row r="23" spans="1:9">
      <c r="A23" s="125"/>
      <c r="B23" s="140"/>
      <c r="C23" s="140"/>
      <c r="D23" s="129"/>
      <c r="E23" s="129"/>
      <c r="F23" s="129"/>
      <c r="G23" s="139"/>
      <c r="H23" s="161"/>
      <c r="I23" s="125"/>
    </row>
    <row r="24" spans="1:9">
      <c r="A24" s="125"/>
      <c r="B24" s="140"/>
      <c r="C24" s="140"/>
      <c r="D24" s="129"/>
      <c r="E24" s="129"/>
      <c r="F24" s="129"/>
      <c r="G24" s="139"/>
      <c r="H24" s="161"/>
      <c r="I24" s="125"/>
    </row>
    <row r="25" spans="1:9">
      <c r="A25" s="125"/>
      <c r="B25" s="140"/>
      <c r="C25" s="140"/>
      <c r="D25" s="129"/>
      <c r="E25" s="129"/>
      <c r="F25" s="129"/>
      <c r="G25" s="139"/>
      <c r="H25" s="161"/>
      <c r="I25" s="125"/>
    </row>
    <row r="26" spans="1:9">
      <c r="A26" s="125"/>
      <c r="B26" s="140"/>
      <c r="C26" s="140"/>
      <c r="D26" s="129"/>
      <c r="E26" s="129"/>
      <c r="F26" s="129"/>
      <c r="G26" s="139"/>
      <c r="H26" s="161"/>
      <c r="I26" s="125"/>
    </row>
    <row r="27" spans="1:9">
      <c r="A27" s="125"/>
      <c r="B27" s="140"/>
      <c r="C27" s="140"/>
      <c r="D27" s="129"/>
      <c r="E27" s="129"/>
      <c r="F27" s="129"/>
      <c r="G27" s="139"/>
      <c r="H27" s="161"/>
      <c r="I27" s="125"/>
    </row>
    <row r="28" spans="1:9">
      <c r="A28" s="125"/>
      <c r="B28" s="140"/>
      <c r="C28" s="140"/>
      <c r="D28" s="129"/>
      <c r="E28" s="129"/>
      <c r="F28" s="129"/>
      <c r="G28" s="139"/>
      <c r="H28" s="161"/>
      <c r="I28" s="125"/>
    </row>
    <row r="29" spans="1:9">
      <c r="A29" s="125"/>
      <c r="B29" s="140"/>
      <c r="C29" s="140"/>
      <c r="D29" s="129"/>
      <c r="E29" s="129"/>
      <c r="F29" s="129"/>
      <c r="G29" s="139"/>
      <c r="H29" s="161"/>
      <c r="I29" s="125"/>
    </row>
    <row r="30" spans="1:9">
      <c r="A30" s="125"/>
      <c r="B30" s="140"/>
      <c r="C30" s="140"/>
      <c r="D30" s="129"/>
      <c r="E30" s="129"/>
      <c r="F30" s="129"/>
      <c r="G30" s="139"/>
      <c r="H30" s="161"/>
      <c r="I30" s="125"/>
    </row>
    <row r="31" spans="1:9">
      <c r="A31" s="125"/>
      <c r="B31" s="140"/>
      <c r="C31" s="140"/>
      <c r="D31" s="129"/>
      <c r="E31" s="129"/>
      <c r="F31" s="129"/>
      <c r="G31" s="139"/>
      <c r="H31" s="161"/>
      <c r="I31" s="125"/>
    </row>
    <row r="32" spans="1:9">
      <c r="A32" s="125"/>
      <c r="B32" s="140"/>
      <c r="C32" s="140"/>
      <c r="D32" s="129"/>
      <c r="E32" s="129"/>
      <c r="F32" s="129"/>
      <c r="G32" s="139"/>
      <c r="H32" s="161"/>
      <c r="I32" s="125"/>
    </row>
    <row r="33" spans="1:9">
      <c r="A33" s="125"/>
      <c r="B33" s="140"/>
      <c r="C33" s="140"/>
      <c r="D33" s="129"/>
      <c r="E33" s="129"/>
      <c r="F33" s="129"/>
      <c r="G33" s="139"/>
      <c r="H33" s="161"/>
      <c r="I33" s="125"/>
    </row>
    <row r="34" spans="1:9">
      <c r="A34" s="125"/>
      <c r="B34" s="140"/>
      <c r="C34" s="140"/>
      <c r="D34" s="129"/>
      <c r="E34" s="129"/>
      <c r="F34" s="129"/>
      <c r="G34" s="139"/>
      <c r="H34" s="161"/>
      <c r="I34" s="125"/>
    </row>
    <row r="35" spans="1:9">
      <c r="A35" s="125"/>
      <c r="B35" s="140"/>
      <c r="C35" s="140"/>
      <c r="D35" s="129"/>
      <c r="E35" s="129"/>
      <c r="F35" s="129"/>
      <c r="G35" s="139"/>
      <c r="H35" s="161"/>
      <c r="I35" s="125"/>
    </row>
    <row r="36" spans="1:9">
      <c r="A36" s="125"/>
      <c r="B36" s="140"/>
      <c r="C36" s="140"/>
      <c r="D36" s="129"/>
      <c r="E36" s="129"/>
      <c r="F36" s="129"/>
      <c r="G36" s="139"/>
      <c r="H36" s="161"/>
      <c r="I36" s="125"/>
    </row>
    <row r="37" spans="1:9">
      <c r="A37" s="125"/>
      <c r="B37" s="140"/>
      <c r="C37" s="140"/>
      <c r="D37" s="129"/>
      <c r="E37" s="129"/>
      <c r="F37" s="129"/>
      <c r="G37" s="139"/>
      <c r="H37" s="161"/>
      <c r="I37" s="125"/>
    </row>
    <row r="38" spans="1:9">
      <c r="A38" s="125"/>
      <c r="B38" s="140"/>
      <c r="C38" s="140"/>
      <c r="D38" s="129"/>
      <c r="E38" s="129"/>
      <c r="F38" s="129"/>
      <c r="G38" s="139"/>
      <c r="H38" s="161"/>
      <c r="I38" s="125"/>
    </row>
    <row r="39" spans="1:9">
      <c r="A39" s="125"/>
      <c r="B39" s="140"/>
      <c r="C39" s="140"/>
      <c r="D39" s="129"/>
      <c r="E39" s="129"/>
      <c r="F39" s="129"/>
      <c r="G39" s="139"/>
      <c r="H39" s="161"/>
      <c r="I39" s="125"/>
    </row>
    <row r="40" spans="1:9">
      <c r="A40" s="125"/>
      <c r="B40" s="140"/>
      <c r="C40" s="140"/>
      <c r="D40" s="129"/>
      <c r="E40" s="129"/>
      <c r="F40" s="129"/>
      <c r="G40" s="139"/>
      <c r="H40" s="161"/>
      <c r="I40" s="125"/>
    </row>
    <row r="41" spans="1:9">
      <c r="A41" s="125"/>
      <c r="B41" s="140"/>
      <c r="C41" s="140"/>
      <c r="D41" s="129"/>
      <c r="E41" s="129"/>
      <c r="F41" s="129"/>
      <c r="G41" s="139"/>
      <c r="H41" s="161"/>
      <c r="I41" s="125"/>
    </row>
    <row r="42" spans="1:9">
      <c r="A42" s="125"/>
      <c r="B42" s="140"/>
      <c r="C42" s="140"/>
      <c r="D42" s="129"/>
      <c r="E42" s="129"/>
      <c r="F42" s="129"/>
      <c r="G42" s="139"/>
      <c r="H42" s="161"/>
      <c r="I42" s="125"/>
    </row>
    <row r="43" spans="1:9">
      <c r="A43" s="125"/>
      <c r="B43" s="140"/>
      <c r="C43" s="140"/>
      <c r="D43" s="129"/>
      <c r="E43" s="129"/>
      <c r="F43" s="129"/>
      <c r="G43" s="139"/>
      <c r="H43" s="161"/>
      <c r="I43" s="125"/>
    </row>
    <row r="44" spans="1:9">
      <c r="A44" s="125"/>
      <c r="B44" s="140"/>
      <c r="C44" s="140"/>
      <c r="D44" s="129"/>
      <c r="E44" s="129"/>
      <c r="F44" s="129"/>
      <c r="G44" s="139"/>
      <c r="H44" s="161"/>
      <c r="I44" s="125"/>
    </row>
    <row r="45" spans="1:9">
      <c r="A45" s="125"/>
      <c r="B45" s="140"/>
      <c r="C45" s="140"/>
      <c r="D45" s="129"/>
      <c r="E45" s="129"/>
      <c r="F45" s="129"/>
      <c r="G45" s="139"/>
      <c r="H45" s="161"/>
      <c r="I45" s="125"/>
    </row>
    <row r="46" spans="1:9">
      <c r="A46" s="125"/>
      <c r="B46" s="140"/>
      <c r="C46" s="140"/>
      <c r="D46" s="129"/>
      <c r="E46" s="129"/>
      <c r="F46" s="129"/>
      <c r="G46" s="139"/>
      <c r="H46" s="161"/>
      <c r="I46" s="125"/>
    </row>
    <row r="47" spans="1:9">
      <c r="A47" s="125"/>
      <c r="B47" s="140"/>
      <c r="C47" s="140"/>
      <c r="D47" s="129"/>
      <c r="E47" s="129"/>
      <c r="F47" s="129"/>
      <c r="G47" s="139"/>
      <c r="H47" s="161"/>
      <c r="I47" s="125"/>
    </row>
    <row r="48" spans="1:9">
      <c r="A48" s="125"/>
      <c r="B48" s="140"/>
      <c r="C48" s="140"/>
      <c r="D48" s="129"/>
      <c r="E48" s="129"/>
      <c r="F48" s="129"/>
      <c r="G48" s="139"/>
      <c r="H48" s="161"/>
      <c r="I48" s="125"/>
    </row>
    <row r="49" spans="1:9">
      <c r="A49" s="125"/>
      <c r="B49" s="140"/>
      <c r="C49" s="140"/>
      <c r="D49" s="129"/>
      <c r="E49" s="129"/>
      <c r="F49" s="129"/>
      <c r="G49" s="139"/>
      <c r="H49" s="161"/>
      <c r="I49" s="125"/>
    </row>
    <row r="50" spans="1:9">
      <c r="A50" s="125"/>
      <c r="B50" s="140"/>
      <c r="C50" s="140"/>
      <c r="D50" s="129"/>
      <c r="E50" s="129"/>
      <c r="F50" s="129"/>
      <c r="G50" s="139"/>
      <c r="H50" s="161"/>
      <c r="I50" s="125"/>
    </row>
    <row r="51" spans="1:9">
      <c r="A51" s="125"/>
      <c r="B51" s="140"/>
      <c r="C51" s="140"/>
      <c r="D51" s="129"/>
      <c r="E51" s="129"/>
      <c r="F51" s="129"/>
      <c r="G51" s="139"/>
      <c r="H51" s="161"/>
      <c r="I51" s="125"/>
    </row>
    <row r="52" spans="1:9">
      <c r="A52" s="125"/>
      <c r="B52" s="140"/>
      <c r="C52" s="140"/>
      <c r="D52" s="129"/>
      <c r="E52" s="129"/>
      <c r="F52" s="129"/>
      <c r="G52" s="139"/>
      <c r="H52" s="161"/>
      <c r="I52" s="125"/>
    </row>
    <row r="53" spans="1:9">
      <c r="A53" s="125"/>
      <c r="B53" s="140"/>
      <c r="C53" s="140"/>
      <c r="D53" s="129"/>
      <c r="E53" s="129"/>
      <c r="F53" s="129"/>
      <c r="G53" s="139"/>
      <c r="H53" s="161"/>
      <c r="I53" s="125"/>
    </row>
    <row r="54" spans="1:9">
      <c r="A54" s="125"/>
      <c r="B54" s="140"/>
      <c r="C54" s="140"/>
      <c r="D54" s="129"/>
      <c r="E54" s="129"/>
      <c r="F54" s="129"/>
      <c r="G54" s="139"/>
      <c r="H54" s="161"/>
      <c r="I54" s="125"/>
    </row>
    <row r="55" spans="1:9">
      <c r="A55" s="125"/>
      <c r="B55" s="140"/>
      <c r="C55" s="140"/>
      <c r="D55" s="129"/>
      <c r="E55" s="129"/>
      <c r="F55" s="129"/>
      <c r="G55" s="139"/>
      <c r="H55" s="161"/>
      <c r="I55" s="125"/>
    </row>
    <row r="56" spans="1:9">
      <c r="A56" s="125"/>
      <c r="B56" s="140"/>
      <c r="C56" s="140"/>
      <c r="D56" s="129"/>
      <c r="E56" s="129"/>
      <c r="F56" s="129"/>
      <c r="G56" s="139"/>
      <c r="H56" s="161"/>
      <c r="I56" s="125"/>
    </row>
    <row r="57" spans="1:9">
      <c r="A57" s="125"/>
      <c r="B57" s="140"/>
      <c r="C57" s="140"/>
      <c r="D57" s="129"/>
      <c r="E57" s="129"/>
      <c r="F57" s="129"/>
      <c r="G57" s="139"/>
      <c r="H57" s="161"/>
      <c r="I57" s="125"/>
    </row>
    <row r="58" spans="1:9">
      <c r="A58" s="125"/>
      <c r="B58" s="140"/>
      <c r="C58" s="140"/>
      <c r="D58" s="129"/>
      <c r="E58" s="129"/>
      <c r="F58" s="129"/>
      <c r="G58" s="139"/>
      <c r="H58" s="161"/>
      <c r="I58" s="125"/>
    </row>
    <row r="59" spans="1:9">
      <c r="A59" s="125"/>
      <c r="B59" s="140"/>
      <c r="C59" s="140"/>
      <c r="D59" s="129"/>
      <c r="E59" s="129"/>
      <c r="F59" s="129"/>
      <c r="G59" s="139"/>
      <c r="H59" s="161"/>
      <c r="I59" s="125"/>
    </row>
    <row r="60" spans="1:9">
      <c r="A60" s="125"/>
      <c r="B60" s="140"/>
      <c r="C60" s="140"/>
      <c r="D60" s="129"/>
      <c r="E60" s="129"/>
      <c r="F60" s="129"/>
      <c r="G60" s="139"/>
      <c r="H60" s="161"/>
      <c r="I60" s="125"/>
    </row>
    <row r="61" spans="1:9">
      <c r="A61" s="125"/>
      <c r="B61" s="140"/>
      <c r="C61" s="140"/>
      <c r="D61" s="129"/>
      <c r="E61" s="129"/>
      <c r="F61" s="129"/>
      <c r="G61" s="139"/>
      <c r="H61" s="161"/>
      <c r="I61" s="125"/>
    </row>
    <row r="62" spans="1:9">
      <c r="A62" s="125"/>
      <c r="B62" s="140"/>
      <c r="C62" s="140"/>
      <c r="D62" s="129"/>
      <c r="E62" s="129"/>
      <c r="F62" s="129"/>
      <c r="G62" s="139"/>
      <c r="H62" s="161"/>
      <c r="I62" s="125"/>
    </row>
    <row r="63" spans="1:9">
      <c r="A63" s="125"/>
      <c r="B63" s="140"/>
      <c r="C63" s="140"/>
      <c r="D63" s="129"/>
      <c r="E63" s="129"/>
      <c r="F63" s="129"/>
      <c r="G63" s="139"/>
      <c r="H63" s="161"/>
      <c r="I63" s="125"/>
    </row>
    <row r="64" spans="1:9">
      <c r="A64" s="125"/>
      <c r="B64" s="140"/>
      <c r="C64" s="140"/>
      <c r="D64" s="129"/>
      <c r="E64" s="129"/>
      <c r="F64" s="129"/>
      <c r="G64" s="139"/>
      <c r="H64" s="161"/>
      <c r="I64" s="125"/>
    </row>
    <row r="65" spans="1:9">
      <c r="A65" s="125"/>
      <c r="B65" s="140"/>
      <c r="C65" s="140"/>
      <c r="D65" s="129"/>
      <c r="E65" s="129"/>
      <c r="F65" s="129"/>
      <c r="G65" s="139"/>
      <c r="H65" s="161"/>
      <c r="I65" s="125"/>
    </row>
    <row r="66" spans="1:9">
      <c r="A66" s="125"/>
      <c r="B66" s="140"/>
      <c r="C66" s="140"/>
      <c r="D66" s="129"/>
      <c r="E66" s="129"/>
      <c r="F66" s="129"/>
      <c r="G66" s="139"/>
      <c r="H66" s="161"/>
      <c r="I66" s="125"/>
    </row>
    <row r="67" spans="1:9">
      <c r="A67" s="125"/>
      <c r="B67" s="140"/>
      <c r="C67" s="140"/>
      <c r="D67" s="129"/>
      <c r="E67" s="129"/>
      <c r="F67" s="129"/>
      <c r="G67" s="139"/>
      <c r="H67" s="161"/>
      <c r="I67" s="125"/>
    </row>
    <row r="68" spans="1:9">
      <c r="A68" s="125"/>
      <c r="B68" s="140"/>
      <c r="C68" s="140"/>
      <c r="D68" s="129"/>
      <c r="E68" s="129"/>
      <c r="F68" s="129"/>
      <c r="G68" s="139"/>
      <c r="H68" s="161"/>
      <c r="I68" s="125"/>
    </row>
    <row r="69" spans="1:9">
      <c r="A69" s="125"/>
      <c r="B69" s="140"/>
      <c r="C69" s="140"/>
      <c r="D69" s="129"/>
      <c r="E69" s="129"/>
      <c r="F69" s="129"/>
      <c r="G69" s="139"/>
      <c r="H69" s="161"/>
      <c r="I69" s="125"/>
    </row>
    <row r="70" spans="1:9">
      <c r="A70" s="125"/>
      <c r="B70" s="140"/>
      <c r="C70" s="140"/>
      <c r="D70" s="129"/>
      <c r="E70" s="129"/>
      <c r="F70" s="129"/>
      <c r="G70" s="139"/>
      <c r="H70" s="161"/>
      <c r="I70" s="125"/>
    </row>
    <row r="71" spans="1:9">
      <c r="A71" s="125"/>
      <c r="B71" s="140"/>
      <c r="C71" s="140"/>
      <c r="D71" s="129"/>
      <c r="E71" s="129"/>
      <c r="F71" s="129"/>
      <c r="G71" s="139"/>
      <c r="H71" s="161"/>
      <c r="I71" s="125"/>
    </row>
    <row r="72" spans="1:9">
      <c r="A72" s="125"/>
      <c r="B72" s="140"/>
      <c r="C72" s="140"/>
      <c r="D72" s="129"/>
      <c r="E72" s="129"/>
      <c r="F72" s="129"/>
      <c r="G72" s="139"/>
      <c r="H72" s="161"/>
      <c r="I72" s="125"/>
    </row>
    <row r="73" spans="1:9">
      <c r="A73" s="125"/>
      <c r="B73" s="140"/>
      <c r="C73" s="140"/>
      <c r="D73" s="129"/>
      <c r="E73" s="129"/>
      <c r="F73" s="129"/>
      <c r="G73" s="139"/>
      <c r="H73" s="161"/>
      <c r="I73" s="125"/>
    </row>
    <row r="74" spans="1:9">
      <c r="A74" s="125"/>
      <c r="B74" s="140"/>
      <c r="C74" s="140"/>
      <c r="D74" s="129"/>
      <c r="E74" s="129"/>
      <c r="F74" s="129"/>
      <c r="G74" s="139"/>
      <c r="H74" s="161"/>
      <c r="I74" s="125"/>
    </row>
    <row r="75" spans="1:9">
      <c r="A75" s="125"/>
      <c r="B75" s="140"/>
      <c r="C75" s="140"/>
      <c r="D75" s="129"/>
      <c r="E75" s="129"/>
      <c r="F75" s="129"/>
      <c r="G75" s="139"/>
      <c r="H75" s="161"/>
      <c r="I75" s="125"/>
    </row>
    <row r="76" spans="1:9">
      <c r="A76" s="125"/>
      <c r="B76" s="140"/>
      <c r="C76" s="140"/>
      <c r="D76" s="129"/>
      <c r="E76" s="129"/>
      <c r="F76" s="129"/>
      <c r="G76" s="139"/>
      <c r="H76" s="161"/>
      <c r="I76" s="125"/>
    </row>
    <row r="77" spans="1:9">
      <c r="A77" s="125"/>
      <c r="B77" s="140"/>
      <c r="C77" s="140"/>
      <c r="D77" s="129"/>
      <c r="E77" s="129"/>
      <c r="F77" s="129"/>
      <c r="G77" s="139"/>
      <c r="H77" s="161"/>
      <c r="I77" s="125"/>
    </row>
    <row r="78" spans="1:9">
      <c r="A78" s="125"/>
      <c r="B78" s="140"/>
      <c r="C78" s="140"/>
      <c r="D78" s="129"/>
      <c r="E78" s="129"/>
      <c r="F78" s="129"/>
      <c r="G78" s="139"/>
      <c r="H78" s="161"/>
      <c r="I78" s="125"/>
    </row>
    <row r="79" spans="1:9">
      <c r="A79" s="125"/>
      <c r="B79" s="140"/>
      <c r="C79" s="140"/>
      <c r="D79" s="129"/>
      <c r="E79" s="129"/>
      <c r="F79" s="129"/>
      <c r="G79" s="139"/>
      <c r="H79" s="161"/>
      <c r="I79" s="125"/>
    </row>
    <row r="80" spans="1:9">
      <c r="A80" s="125"/>
      <c r="B80" s="140"/>
      <c r="C80" s="140"/>
      <c r="D80" s="129"/>
      <c r="E80" s="129"/>
      <c r="F80" s="129"/>
      <c r="G80" s="139"/>
      <c r="H80" s="161"/>
      <c r="I80" s="125"/>
    </row>
    <row r="81" spans="1:9">
      <c r="A81" s="125"/>
      <c r="B81" s="140"/>
      <c r="C81" s="140"/>
      <c r="D81" s="129"/>
      <c r="E81" s="129"/>
      <c r="F81" s="129"/>
      <c r="G81" s="139"/>
      <c r="H81" s="161"/>
      <c r="I81" s="125"/>
    </row>
    <row r="82" spans="1:9">
      <c r="A82" s="125"/>
      <c r="B82" s="140"/>
      <c r="C82" s="140"/>
      <c r="D82" s="129"/>
      <c r="E82" s="129"/>
      <c r="F82" s="129"/>
      <c r="G82" s="139"/>
      <c r="H82" s="161"/>
      <c r="I82" s="125"/>
    </row>
    <row r="83" spans="1:9">
      <c r="A83" s="125"/>
      <c r="B83" s="140"/>
      <c r="C83" s="140"/>
      <c r="D83" s="129"/>
      <c r="E83" s="129"/>
      <c r="F83" s="129"/>
      <c r="G83" s="139"/>
      <c r="H83" s="161"/>
      <c r="I83" s="125"/>
    </row>
    <row r="84" spans="1:9">
      <c r="A84" s="125"/>
      <c r="B84" s="140"/>
      <c r="C84" s="140"/>
      <c r="D84" s="129"/>
      <c r="E84" s="129"/>
      <c r="F84" s="129"/>
      <c r="G84" s="139"/>
      <c r="H84" s="161"/>
      <c r="I84" s="125"/>
    </row>
    <row r="85" spans="1:9">
      <c r="A85" s="125"/>
      <c r="B85" s="140"/>
      <c r="C85" s="140"/>
      <c r="D85" s="129"/>
      <c r="E85" s="129"/>
      <c r="F85" s="129"/>
      <c r="G85" s="139"/>
      <c r="H85" s="161"/>
      <c r="I85" s="125"/>
    </row>
    <row r="86" spans="1:9">
      <c r="A86" s="125"/>
      <c r="B86" s="140"/>
      <c r="C86" s="140"/>
      <c r="D86" s="129"/>
      <c r="E86" s="129"/>
      <c r="F86" s="129"/>
      <c r="G86" s="139"/>
      <c r="H86" s="161"/>
      <c r="I86" s="125"/>
    </row>
    <row r="87" spans="1:9">
      <c r="A87" s="125"/>
      <c r="B87" s="140"/>
      <c r="C87" s="140"/>
      <c r="D87" s="129"/>
      <c r="E87" s="129"/>
      <c r="F87" s="129"/>
      <c r="G87" s="139"/>
      <c r="H87" s="161"/>
      <c r="I87" s="125"/>
    </row>
    <row r="88" spans="1:9">
      <c r="A88" s="125"/>
      <c r="B88" s="140"/>
      <c r="C88" s="140"/>
      <c r="D88" s="129"/>
      <c r="E88" s="129"/>
      <c r="F88" s="129"/>
      <c r="G88" s="139"/>
      <c r="H88" s="161"/>
      <c r="I88" s="125"/>
    </row>
    <row r="89" spans="1:9">
      <c r="A89" s="125"/>
      <c r="B89" s="140"/>
      <c r="C89" s="140"/>
      <c r="D89" s="129"/>
      <c r="E89" s="129"/>
      <c r="F89" s="129"/>
      <c r="G89" s="139"/>
      <c r="H89" s="161"/>
      <c r="I89" s="125"/>
    </row>
    <row r="90" spans="1:9">
      <c r="A90" s="125"/>
      <c r="B90" s="140"/>
      <c r="C90" s="140"/>
      <c r="D90" s="129"/>
      <c r="E90" s="129"/>
      <c r="F90" s="129"/>
      <c r="G90" s="139"/>
      <c r="H90" s="161"/>
      <c r="I90" s="125"/>
    </row>
    <row r="91" spans="1:9">
      <c r="A91" s="125"/>
      <c r="B91" s="140"/>
      <c r="C91" s="140"/>
      <c r="D91" s="129"/>
      <c r="E91" s="129"/>
      <c r="F91" s="129"/>
      <c r="G91" s="139"/>
      <c r="H91" s="161"/>
      <c r="I91" s="125"/>
    </row>
    <row r="92" spans="1:9">
      <c r="A92" s="125"/>
      <c r="B92" s="140"/>
      <c r="C92" s="140"/>
      <c r="D92" s="129"/>
      <c r="E92" s="129"/>
      <c r="F92" s="129"/>
      <c r="G92" s="139"/>
      <c r="H92" s="161"/>
      <c r="I92" s="125"/>
    </row>
    <row r="93" spans="1:9">
      <c r="A93" s="125"/>
      <c r="B93" s="140"/>
      <c r="C93" s="140"/>
      <c r="D93" s="129"/>
      <c r="E93" s="129"/>
      <c r="F93" s="129"/>
      <c r="G93" s="139"/>
      <c r="H93" s="161"/>
      <c r="I93" s="125"/>
    </row>
    <row r="94" spans="1:9">
      <c r="A94" s="125"/>
      <c r="B94" s="140"/>
      <c r="C94" s="140"/>
      <c r="D94" s="129"/>
      <c r="E94" s="129"/>
      <c r="F94" s="129"/>
      <c r="G94" s="139"/>
      <c r="H94" s="161"/>
      <c r="I94" s="125"/>
    </row>
    <row r="95" spans="1:9">
      <c r="A95" s="125"/>
      <c r="B95" s="140"/>
      <c r="C95" s="140"/>
      <c r="D95" s="129"/>
      <c r="E95" s="129"/>
      <c r="F95" s="129"/>
      <c r="G95" s="139"/>
      <c r="H95" s="161"/>
      <c r="I95" s="125"/>
    </row>
    <row r="96" spans="1:9">
      <c r="A96" s="125"/>
      <c r="B96" s="140"/>
      <c r="C96" s="140"/>
      <c r="D96" s="129"/>
      <c r="E96" s="129"/>
      <c r="F96" s="129"/>
      <c r="G96" s="139"/>
      <c r="H96" s="161"/>
      <c r="I96" s="125"/>
    </row>
    <row r="97" spans="1:9">
      <c r="A97" s="125"/>
      <c r="B97" s="140"/>
      <c r="C97" s="140"/>
      <c r="D97" s="129"/>
      <c r="E97" s="129"/>
      <c r="F97" s="129"/>
      <c r="G97" s="139"/>
      <c r="H97" s="161"/>
      <c r="I97" s="125"/>
    </row>
    <row r="98" spans="1:9">
      <c r="A98" s="125"/>
      <c r="B98" s="140"/>
      <c r="C98" s="140"/>
      <c r="D98" s="129"/>
      <c r="E98" s="129"/>
      <c r="F98" s="129"/>
      <c r="G98" s="139"/>
      <c r="H98" s="161"/>
      <c r="I98" s="125"/>
    </row>
    <row r="99" spans="1:9">
      <c r="A99" s="125"/>
      <c r="B99" s="140"/>
      <c r="C99" s="140"/>
      <c r="D99" s="129"/>
      <c r="E99" s="129"/>
      <c r="F99" s="129"/>
      <c r="G99" s="139"/>
      <c r="H99" s="161"/>
      <c r="I99" s="125"/>
    </row>
    <row r="100" spans="1:9">
      <c r="A100" s="125"/>
      <c r="B100" s="140"/>
      <c r="C100" s="140"/>
      <c r="D100" s="129"/>
      <c r="E100" s="129"/>
      <c r="F100" s="129"/>
      <c r="G100" s="139"/>
      <c r="H100" s="161"/>
      <c r="I100" s="125"/>
    </row>
    <row r="101" spans="1:9">
      <c r="A101" s="125"/>
      <c r="B101" s="140"/>
      <c r="C101" s="140"/>
      <c r="D101" s="129"/>
      <c r="E101" s="129"/>
      <c r="F101" s="129"/>
      <c r="G101" s="139"/>
      <c r="H101" s="161"/>
      <c r="I101" s="125"/>
    </row>
    <row r="102" spans="1:9">
      <c r="A102" s="125"/>
      <c r="B102" s="140"/>
      <c r="C102" s="140"/>
      <c r="D102" s="129"/>
      <c r="E102" s="129"/>
      <c r="F102" s="129"/>
      <c r="G102" s="139"/>
      <c r="H102" s="161"/>
      <c r="I102" s="125"/>
    </row>
    <row r="103" spans="1:9">
      <c r="A103" s="125"/>
      <c r="B103" s="140"/>
      <c r="C103" s="140"/>
      <c r="D103" s="129"/>
      <c r="E103" s="129"/>
      <c r="F103" s="129"/>
      <c r="G103" s="139"/>
      <c r="H103" s="161"/>
      <c r="I103" s="125"/>
    </row>
    <row r="104" spans="1:9">
      <c r="A104" s="125"/>
      <c r="B104" s="140"/>
      <c r="C104" s="140"/>
      <c r="D104" s="129"/>
      <c r="E104" s="129"/>
      <c r="F104" s="129"/>
      <c r="G104" s="139"/>
      <c r="H104" s="161"/>
      <c r="I104" s="125"/>
    </row>
    <row r="105" spans="1:9">
      <c r="A105" s="125"/>
      <c r="B105" s="140"/>
      <c r="C105" s="140"/>
      <c r="D105" s="129"/>
      <c r="E105" s="129"/>
      <c r="F105" s="129"/>
      <c r="G105" s="139"/>
      <c r="H105" s="161"/>
      <c r="I105" s="125"/>
    </row>
    <row r="106" spans="1:9">
      <c r="A106" s="125"/>
      <c r="B106" s="140"/>
      <c r="C106" s="140"/>
      <c r="D106" s="129"/>
      <c r="E106" s="129"/>
      <c r="F106" s="129"/>
      <c r="G106" s="139"/>
      <c r="H106" s="161"/>
      <c r="I106" s="125"/>
    </row>
    <row r="107" spans="1:9">
      <c r="A107" s="125"/>
      <c r="B107" s="140"/>
      <c r="C107" s="140"/>
      <c r="D107" s="129"/>
      <c r="E107" s="129"/>
      <c r="F107" s="129"/>
      <c r="G107" s="139"/>
      <c r="H107" s="161"/>
      <c r="I107" s="125"/>
    </row>
    <row r="108" spans="1:9">
      <c r="A108" s="125"/>
      <c r="B108" s="140"/>
      <c r="C108" s="140"/>
      <c r="D108" s="129"/>
      <c r="E108" s="129"/>
      <c r="F108" s="129"/>
      <c r="G108" s="139"/>
      <c r="H108" s="161"/>
      <c r="I108" s="125"/>
    </row>
    <row r="109" spans="1:9">
      <c r="A109" s="125"/>
      <c r="B109" s="140"/>
      <c r="C109" s="140"/>
      <c r="D109" s="129"/>
      <c r="E109" s="129"/>
      <c r="F109" s="129"/>
      <c r="G109" s="139"/>
      <c r="H109" s="161"/>
      <c r="I109" s="125"/>
    </row>
    <row r="110" spans="1:9">
      <c r="A110" s="125"/>
      <c r="B110" s="140"/>
      <c r="C110" s="140"/>
      <c r="D110" s="129"/>
      <c r="E110" s="129"/>
      <c r="F110" s="129"/>
      <c r="G110" s="139"/>
      <c r="H110" s="161"/>
      <c r="I110" s="125"/>
    </row>
    <row r="111" spans="1:9">
      <c r="A111" s="125"/>
      <c r="B111" s="140"/>
      <c r="C111" s="140"/>
      <c r="D111" s="129"/>
      <c r="E111" s="129"/>
      <c r="F111" s="129"/>
      <c r="G111" s="139"/>
      <c r="H111" s="161"/>
      <c r="I111" s="125"/>
    </row>
    <row r="112" spans="1:9">
      <c r="A112" s="125"/>
      <c r="B112" s="140"/>
      <c r="C112" s="140"/>
      <c r="D112" s="129"/>
      <c r="E112" s="129"/>
      <c r="F112" s="129"/>
      <c r="G112" s="139"/>
      <c r="H112" s="161"/>
      <c r="I112" s="125"/>
    </row>
    <row r="113" spans="1:9">
      <c r="A113" s="125"/>
      <c r="B113" s="140"/>
      <c r="C113" s="140"/>
      <c r="D113" s="129"/>
      <c r="E113" s="129"/>
      <c r="F113" s="129"/>
      <c r="G113" s="139"/>
      <c r="H113" s="161"/>
      <c r="I113" s="125"/>
    </row>
    <row r="114" spans="1:9">
      <c r="A114" s="125"/>
      <c r="B114" s="140"/>
      <c r="C114" s="140"/>
      <c r="D114" s="129"/>
      <c r="E114" s="129"/>
      <c r="F114" s="129"/>
      <c r="G114" s="139"/>
      <c r="H114" s="161"/>
      <c r="I114" s="125"/>
    </row>
    <row r="115" spans="1:9">
      <c r="A115" s="125"/>
      <c r="B115" s="140"/>
      <c r="C115" s="140"/>
      <c r="D115" s="129"/>
      <c r="E115" s="129"/>
      <c r="F115" s="129"/>
      <c r="G115" s="139"/>
      <c r="H115" s="161"/>
      <c r="I115" s="125"/>
    </row>
    <row r="116" spans="1:9">
      <c r="A116" s="125"/>
      <c r="B116" s="140"/>
      <c r="C116" s="140"/>
      <c r="D116" s="129"/>
      <c r="E116" s="129"/>
      <c r="F116" s="129"/>
      <c r="G116" s="139"/>
      <c r="H116" s="161"/>
      <c r="I116" s="125"/>
    </row>
    <row r="117" spans="1:9">
      <c r="A117" s="125"/>
      <c r="B117" s="140"/>
      <c r="C117" s="140"/>
      <c r="D117" s="129"/>
      <c r="E117" s="129"/>
      <c r="F117" s="129"/>
      <c r="G117" s="139"/>
      <c r="H117" s="161"/>
      <c r="I117" s="125"/>
    </row>
    <row r="118" spans="1:9">
      <c r="A118" s="125"/>
      <c r="B118" s="140"/>
      <c r="C118" s="140"/>
      <c r="D118" s="129"/>
      <c r="E118" s="129"/>
      <c r="F118" s="129"/>
      <c r="G118" s="139"/>
      <c r="H118" s="161"/>
      <c r="I118" s="125"/>
    </row>
    <row r="119" spans="1:9">
      <c r="A119" s="125"/>
      <c r="B119" s="140"/>
      <c r="C119" s="140"/>
      <c r="D119" s="129"/>
      <c r="E119" s="129"/>
      <c r="F119" s="129"/>
      <c r="G119" s="139"/>
      <c r="H119" s="161"/>
      <c r="I119" s="125"/>
    </row>
    <row r="120" spans="1:9">
      <c r="A120" s="125"/>
      <c r="B120" s="140"/>
      <c r="C120" s="140"/>
      <c r="D120" s="129"/>
      <c r="E120" s="129"/>
      <c r="F120" s="129"/>
      <c r="G120" s="139"/>
      <c r="H120" s="161"/>
      <c r="I120" s="125"/>
    </row>
    <row r="121" spans="1:9">
      <c r="A121" s="125"/>
      <c r="B121" s="140"/>
      <c r="C121" s="140"/>
      <c r="D121" s="129"/>
      <c r="E121" s="129"/>
      <c r="F121" s="129"/>
      <c r="G121" s="139"/>
      <c r="H121" s="161"/>
      <c r="I121" s="125"/>
    </row>
    <row r="122" spans="1:9">
      <c r="A122" s="125"/>
      <c r="B122" s="140"/>
      <c r="C122" s="140"/>
      <c r="D122" s="129"/>
      <c r="E122" s="129"/>
      <c r="F122" s="129"/>
      <c r="G122" s="139"/>
      <c r="H122" s="161"/>
      <c r="I122" s="125"/>
    </row>
    <row r="123" spans="1:9">
      <c r="A123" s="125"/>
      <c r="B123" s="140"/>
      <c r="C123" s="140"/>
      <c r="D123" s="129"/>
      <c r="E123" s="129"/>
      <c r="F123" s="129"/>
      <c r="G123" s="139"/>
      <c r="H123" s="161"/>
      <c r="I123" s="125"/>
    </row>
    <row r="124" spans="1:9">
      <c r="A124" s="125"/>
      <c r="B124" s="140"/>
      <c r="C124" s="140"/>
      <c r="D124" s="129"/>
      <c r="E124" s="129"/>
      <c r="F124" s="129"/>
      <c r="G124" s="139"/>
      <c r="H124" s="161"/>
      <c r="I124" s="125"/>
    </row>
    <row r="125" spans="1:9">
      <c r="A125" s="125"/>
      <c r="B125" s="140"/>
      <c r="C125" s="140"/>
      <c r="D125" s="129"/>
      <c r="E125" s="129"/>
      <c r="F125" s="129"/>
      <c r="G125" s="139"/>
      <c r="H125" s="161"/>
      <c r="I125" s="125"/>
    </row>
    <row r="126" spans="1:9">
      <c r="A126" s="125"/>
      <c r="B126" s="140"/>
      <c r="C126" s="140"/>
      <c r="D126" s="129"/>
      <c r="E126" s="129"/>
      <c r="F126" s="129"/>
      <c r="G126" s="139"/>
      <c r="H126" s="161"/>
      <c r="I126" s="125"/>
    </row>
    <row r="127" spans="1:9">
      <c r="A127" s="125"/>
      <c r="B127" s="140"/>
      <c r="C127" s="140"/>
      <c r="D127" s="129"/>
      <c r="E127" s="129"/>
      <c r="F127" s="129"/>
      <c r="G127" s="139"/>
      <c r="H127" s="161"/>
      <c r="I127" s="125"/>
    </row>
    <row r="128" spans="1:9">
      <c r="A128" s="125"/>
      <c r="B128" s="140"/>
      <c r="C128" s="140"/>
      <c r="D128" s="129"/>
      <c r="E128" s="129"/>
      <c r="F128" s="129"/>
      <c r="G128" s="139"/>
      <c r="H128" s="161"/>
      <c r="I128" s="125"/>
    </row>
    <row r="129" spans="1:9">
      <c r="A129" s="125"/>
      <c r="B129" s="140"/>
      <c r="C129" s="140"/>
      <c r="D129" s="129"/>
      <c r="E129" s="129"/>
      <c r="F129" s="129"/>
      <c r="G129" s="139"/>
      <c r="H129" s="161"/>
      <c r="I129" s="125"/>
    </row>
    <row r="130" spans="1:9">
      <c r="A130" s="125"/>
      <c r="B130" s="140"/>
      <c r="C130" s="140"/>
      <c r="D130" s="129"/>
      <c r="E130" s="129"/>
      <c r="F130" s="129"/>
      <c r="G130" s="139"/>
      <c r="H130" s="161"/>
      <c r="I130" s="125"/>
    </row>
    <row r="131" spans="1:9">
      <c r="A131" s="125"/>
      <c r="B131" s="140"/>
      <c r="C131" s="140"/>
      <c r="D131" s="129"/>
      <c r="E131" s="129"/>
      <c r="F131" s="129"/>
      <c r="G131" s="139"/>
      <c r="H131" s="161"/>
      <c r="I131" s="125"/>
    </row>
    <row r="132" spans="1:9">
      <c r="A132" s="125"/>
      <c r="B132" s="140"/>
      <c r="C132" s="140"/>
      <c r="D132" s="129"/>
      <c r="E132" s="129"/>
      <c r="F132" s="129"/>
      <c r="G132" s="139"/>
      <c r="H132" s="161"/>
      <c r="I132" s="125"/>
    </row>
    <row r="133" spans="1:9">
      <c r="A133" s="125"/>
      <c r="B133" s="140"/>
      <c r="C133" s="140"/>
      <c r="D133" s="129"/>
      <c r="E133" s="129"/>
      <c r="F133" s="129"/>
      <c r="G133" s="139"/>
      <c r="H133" s="161"/>
      <c r="I133" s="125"/>
    </row>
    <row r="134" spans="1:9">
      <c r="A134" s="125"/>
      <c r="B134" s="140"/>
      <c r="C134" s="140"/>
      <c r="D134" s="129"/>
      <c r="E134" s="129"/>
      <c r="F134" s="129"/>
      <c r="G134" s="139"/>
      <c r="H134" s="161"/>
      <c r="I134" s="125"/>
    </row>
    <row r="135" spans="1:9">
      <c r="A135" s="125"/>
      <c r="B135" s="140"/>
      <c r="C135" s="140"/>
      <c r="D135" s="129"/>
      <c r="E135" s="129"/>
      <c r="F135" s="129"/>
      <c r="G135" s="139"/>
      <c r="H135" s="161"/>
      <c r="I135" s="125"/>
    </row>
    <row r="136" spans="1:9">
      <c r="A136" s="125"/>
      <c r="B136" s="140"/>
      <c r="C136" s="140"/>
      <c r="D136" s="129"/>
      <c r="E136" s="129"/>
      <c r="F136" s="129"/>
      <c r="G136" s="139"/>
      <c r="H136" s="161"/>
      <c r="I136" s="125"/>
    </row>
    <row r="137" spans="1:9">
      <c r="A137" s="125"/>
      <c r="B137" s="140"/>
      <c r="C137" s="140"/>
      <c r="D137" s="129"/>
      <c r="E137" s="129"/>
      <c r="F137" s="129"/>
      <c r="G137" s="139"/>
      <c r="H137" s="161"/>
      <c r="I137" s="125"/>
    </row>
    <row r="138" spans="1:9">
      <c r="A138" s="125"/>
      <c r="B138" s="140"/>
      <c r="C138" s="140"/>
      <c r="D138" s="129"/>
      <c r="E138" s="129"/>
      <c r="F138" s="129"/>
      <c r="G138" s="139"/>
      <c r="H138" s="161"/>
      <c r="I138" s="125"/>
    </row>
    <row r="139" spans="1:9">
      <c r="A139" s="125"/>
      <c r="B139" s="140"/>
      <c r="C139" s="140"/>
      <c r="D139" s="129"/>
      <c r="E139" s="129"/>
      <c r="F139" s="129"/>
      <c r="G139" s="139"/>
      <c r="H139" s="161"/>
      <c r="I139" s="125"/>
    </row>
    <row r="140" spans="1:9">
      <c r="A140" s="125"/>
      <c r="B140" s="140"/>
      <c r="C140" s="140"/>
      <c r="D140" s="129"/>
      <c r="E140" s="129"/>
      <c r="F140" s="129"/>
      <c r="G140" s="139"/>
      <c r="H140" s="161"/>
      <c r="I140" s="125"/>
    </row>
    <row r="141" spans="1:9">
      <c r="A141" s="125"/>
      <c r="B141" s="140"/>
      <c r="C141" s="140"/>
      <c r="D141" s="129"/>
      <c r="E141" s="129"/>
      <c r="F141" s="129"/>
      <c r="G141" s="139"/>
      <c r="H141" s="161"/>
      <c r="I141" s="125"/>
    </row>
    <row r="142" spans="1:9">
      <c r="A142" s="125"/>
      <c r="B142" s="140"/>
      <c r="C142" s="140"/>
      <c r="D142" s="129"/>
      <c r="E142" s="129"/>
      <c r="F142" s="129"/>
      <c r="G142" s="139"/>
      <c r="H142" s="161"/>
      <c r="I142" s="125"/>
    </row>
    <row r="143" spans="1:9">
      <c r="A143" s="125"/>
      <c r="B143" s="140"/>
      <c r="C143" s="140"/>
      <c r="D143" s="129"/>
      <c r="E143" s="129"/>
      <c r="F143" s="129"/>
      <c r="G143" s="139"/>
      <c r="H143" s="161"/>
      <c r="I143" s="125"/>
    </row>
    <row r="144" spans="1:9">
      <c r="A144" s="125"/>
      <c r="B144" s="140"/>
      <c r="C144" s="140"/>
      <c r="D144" s="129"/>
      <c r="E144" s="129"/>
      <c r="F144" s="129"/>
      <c r="G144" s="139"/>
      <c r="H144" s="161"/>
      <c r="I144" s="125"/>
    </row>
    <row r="145" spans="1:9">
      <c r="A145" s="125"/>
      <c r="B145" s="140"/>
      <c r="C145" s="140"/>
      <c r="D145" s="129"/>
      <c r="E145" s="129"/>
      <c r="F145" s="129"/>
      <c r="G145" s="139"/>
      <c r="H145" s="161"/>
      <c r="I145" s="125"/>
    </row>
    <row r="146" spans="1:9">
      <c r="A146" s="125"/>
      <c r="B146" s="140"/>
      <c r="C146" s="140"/>
      <c r="D146" s="129"/>
      <c r="E146" s="129"/>
      <c r="F146" s="129"/>
      <c r="G146" s="139"/>
      <c r="H146" s="161"/>
      <c r="I146" s="125"/>
    </row>
    <row r="147" spans="1:9">
      <c r="A147" s="125"/>
      <c r="B147" s="140"/>
      <c r="C147" s="140"/>
      <c r="D147" s="129"/>
      <c r="E147" s="129"/>
      <c r="F147" s="129"/>
      <c r="G147" s="139"/>
      <c r="H147" s="161"/>
      <c r="I147" s="125"/>
    </row>
    <row r="148" spans="1:9">
      <c r="A148" s="125"/>
      <c r="B148" s="140"/>
      <c r="C148" s="140"/>
      <c r="D148" s="129"/>
      <c r="E148" s="129"/>
      <c r="F148" s="129"/>
      <c r="G148" s="139"/>
      <c r="H148" s="161"/>
      <c r="I148" s="125"/>
    </row>
    <row r="149" spans="1:9">
      <c r="A149" s="125"/>
      <c r="B149" s="140"/>
      <c r="C149" s="140"/>
      <c r="D149" s="129"/>
      <c r="E149" s="129"/>
      <c r="F149" s="129"/>
      <c r="G149" s="139"/>
      <c r="H149" s="161"/>
      <c r="I149" s="125"/>
    </row>
    <row r="150" spans="1:9">
      <c r="A150" s="125"/>
      <c r="B150" s="140"/>
      <c r="C150" s="140"/>
      <c r="D150" s="129"/>
      <c r="E150" s="129"/>
      <c r="F150" s="129"/>
      <c r="G150" s="139"/>
      <c r="H150" s="161"/>
      <c r="I150" s="125"/>
    </row>
    <row r="151" spans="1:9">
      <c r="A151" s="125"/>
      <c r="B151" s="140"/>
      <c r="C151" s="140"/>
      <c r="D151" s="129"/>
      <c r="E151" s="129"/>
      <c r="F151" s="129"/>
      <c r="G151" s="139"/>
      <c r="H151" s="161"/>
      <c r="I151" s="125"/>
    </row>
    <row r="152" spans="1:9">
      <c r="A152" s="125"/>
      <c r="B152" s="140"/>
      <c r="C152" s="140"/>
      <c r="D152" s="129"/>
      <c r="E152" s="129"/>
      <c r="F152" s="129"/>
      <c r="G152" s="139"/>
      <c r="H152" s="161"/>
      <c r="I152" s="125"/>
    </row>
    <row r="153" spans="1:9">
      <c r="A153" s="125"/>
      <c r="B153" s="140"/>
      <c r="C153" s="140"/>
      <c r="D153" s="129"/>
      <c r="E153" s="129"/>
      <c r="F153" s="129"/>
      <c r="G153" s="139"/>
      <c r="H153" s="161"/>
      <c r="I153" s="125"/>
    </row>
    <row r="154" spans="1:9">
      <c r="A154" s="125"/>
      <c r="B154" s="140"/>
      <c r="C154" s="140"/>
      <c r="D154" s="129"/>
      <c r="E154" s="129"/>
      <c r="F154" s="129"/>
      <c r="G154" s="139"/>
      <c r="H154" s="161"/>
      <c r="I154" s="125"/>
    </row>
    <row r="155" spans="1:9">
      <c r="A155" s="125"/>
      <c r="B155" s="140"/>
      <c r="C155" s="140"/>
      <c r="D155" s="129"/>
      <c r="E155" s="129"/>
      <c r="F155" s="129"/>
      <c r="G155" s="139"/>
      <c r="H155" s="161"/>
      <c r="I155" s="125"/>
    </row>
    <row r="156" spans="1:9">
      <c r="A156" s="125"/>
      <c r="B156" s="140"/>
      <c r="C156" s="140"/>
      <c r="D156" s="129"/>
      <c r="E156" s="129"/>
      <c r="F156" s="129"/>
      <c r="G156" s="139"/>
      <c r="H156" s="161"/>
      <c r="I156" s="125"/>
    </row>
    <row r="157" spans="1:9">
      <c r="A157" s="125"/>
      <c r="B157" s="140"/>
      <c r="C157" s="140"/>
      <c r="D157" s="129"/>
      <c r="E157" s="129"/>
      <c r="F157" s="129"/>
      <c r="G157" s="139"/>
      <c r="H157" s="161"/>
      <c r="I157" s="125"/>
    </row>
    <row r="158" spans="1:9">
      <c r="A158" s="125"/>
      <c r="B158" s="140"/>
      <c r="C158" s="140"/>
      <c r="D158" s="129"/>
      <c r="E158" s="129"/>
      <c r="F158" s="129"/>
      <c r="G158" s="139"/>
      <c r="H158" s="161"/>
      <c r="I158" s="125"/>
    </row>
    <row r="159" spans="1:9">
      <c r="A159" s="125"/>
      <c r="B159" s="140"/>
      <c r="C159" s="140"/>
      <c r="D159" s="129"/>
      <c r="E159" s="129"/>
      <c r="F159" s="129"/>
      <c r="G159" s="139"/>
      <c r="H159" s="161"/>
      <c r="I159" s="125"/>
    </row>
    <row r="160" spans="1:9">
      <c r="A160" s="125"/>
      <c r="B160" s="140"/>
      <c r="C160" s="140"/>
      <c r="D160" s="129"/>
      <c r="E160" s="129"/>
      <c r="F160" s="129"/>
      <c r="G160" s="139"/>
      <c r="H160" s="161"/>
      <c r="I160" s="125"/>
    </row>
    <row r="161" spans="1:9">
      <c r="A161" s="125"/>
      <c r="B161" s="140"/>
      <c r="C161" s="140"/>
      <c r="D161" s="129"/>
      <c r="E161" s="129"/>
      <c r="F161" s="129"/>
      <c r="G161" s="139"/>
      <c r="H161" s="161"/>
      <c r="I161" s="125"/>
    </row>
    <row r="162" spans="1:9">
      <c r="A162" s="125"/>
      <c r="B162" s="140"/>
      <c r="C162" s="140"/>
      <c r="D162" s="129"/>
      <c r="E162" s="129"/>
      <c r="F162" s="129"/>
      <c r="G162" s="139"/>
      <c r="H162" s="161"/>
      <c r="I162" s="125"/>
    </row>
    <row r="163" spans="1:9">
      <c r="A163" s="125"/>
      <c r="B163" s="140"/>
      <c r="C163" s="140"/>
      <c r="D163" s="129"/>
      <c r="E163" s="129"/>
      <c r="F163" s="129"/>
      <c r="G163" s="139"/>
      <c r="H163" s="161"/>
      <c r="I163" s="125"/>
    </row>
    <row r="164" spans="1:9">
      <c r="A164" s="125"/>
      <c r="B164" s="140"/>
      <c r="C164" s="140"/>
      <c r="D164" s="129"/>
      <c r="E164" s="129"/>
      <c r="F164" s="129"/>
      <c r="G164" s="139"/>
      <c r="H164" s="161"/>
      <c r="I164" s="125"/>
    </row>
    <row r="165" spans="1:9">
      <c r="A165" s="125"/>
      <c r="B165" s="140"/>
      <c r="C165" s="140"/>
      <c r="D165" s="129"/>
      <c r="E165" s="129"/>
      <c r="F165" s="129"/>
      <c r="G165" s="139"/>
      <c r="H165" s="161"/>
      <c r="I165" s="125"/>
    </row>
    <row r="166" spans="1:9">
      <c r="A166" s="125"/>
      <c r="B166" s="140"/>
      <c r="C166" s="140"/>
      <c r="D166" s="129"/>
      <c r="E166" s="129"/>
      <c r="F166" s="129"/>
      <c r="G166" s="139"/>
      <c r="H166" s="161"/>
      <c r="I166" s="125"/>
    </row>
    <row r="167" spans="1:9">
      <c r="A167" s="125"/>
      <c r="B167" s="140"/>
      <c r="C167" s="140"/>
      <c r="D167" s="129"/>
      <c r="E167" s="129"/>
      <c r="F167" s="129"/>
      <c r="G167" s="139"/>
      <c r="H167" s="161"/>
      <c r="I167" s="125"/>
    </row>
    <row r="168" spans="1:9">
      <c r="A168" s="125"/>
      <c r="B168" s="140"/>
      <c r="C168" s="140"/>
      <c r="D168" s="129"/>
      <c r="E168" s="129"/>
      <c r="F168" s="129"/>
      <c r="G168" s="139"/>
      <c r="H168" s="161"/>
      <c r="I168" s="125"/>
    </row>
    <row r="169" spans="1:9">
      <c r="A169" s="125"/>
      <c r="B169" s="140"/>
      <c r="C169" s="140"/>
      <c r="D169" s="129"/>
      <c r="E169" s="129"/>
      <c r="F169" s="129"/>
      <c r="G169" s="139"/>
      <c r="H169" s="161"/>
      <c r="I169" s="125"/>
    </row>
    <row r="170" spans="1:9">
      <c r="A170" s="125"/>
      <c r="B170" s="140"/>
      <c r="C170" s="140"/>
      <c r="D170" s="129"/>
      <c r="E170" s="129"/>
      <c r="F170" s="129"/>
      <c r="G170" s="139"/>
      <c r="H170" s="161"/>
      <c r="I170" s="125"/>
    </row>
    <row r="171" spans="1:9">
      <c r="A171" s="125"/>
      <c r="B171" s="140"/>
      <c r="C171" s="140"/>
      <c r="D171" s="129"/>
      <c r="E171" s="129"/>
      <c r="F171" s="129"/>
      <c r="G171" s="139"/>
      <c r="H171" s="161"/>
      <c r="I171" s="125"/>
    </row>
    <row r="172" spans="1:9">
      <c r="A172" s="125"/>
      <c r="B172" s="140"/>
      <c r="C172" s="140"/>
      <c r="D172" s="129"/>
      <c r="E172" s="129"/>
      <c r="F172" s="129"/>
      <c r="G172" s="139"/>
      <c r="H172" s="161"/>
      <c r="I172" s="125"/>
    </row>
    <row r="173" spans="1:9">
      <c r="A173" s="125"/>
      <c r="B173" s="140"/>
      <c r="C173" s="140"/>
      <c r="D173" s="129"/>
      <c r="E173" s="129"/>
      <c r="F173" s="129"/>
      <c r="G173" s="139"/>
      <c r="H173" s="161"/>
      <c r="I173" s="125"/>
    </row>
    <row r="174" spans="1:9">
      <c r="A174" s="125"/>
      <c r="B174" s="140"/>
      <c r="C174" s="140"/>
      <c r="D174" s="129"/>
      <c r="E174" s="129"/>
      <c r="F174" s="129"/>
      <c r="G174" s="139"/>
      <c r="H174" s="161"/>
      <c r="I174" s="125"/>
    </row>
    <row r="175" spans="1:9">
      <c r="A175" s="125"/>
      <c r="B175" s="140"/>
      <c r="C175" s="140"/>
      <c r="D175" s="129"/>
      <c r="E175" s="129"/>
      <c r="F175" s="129"/>
      <c r="G175" s="139"/>
      <c r="H175" s="161"/>
      <c r="I175" s="125"/>
    </row>
    <row r="176" spans="1:9">
      <c r="A176" s="125"/>
      <c r="B176" s="140"/>
      <c r="C176" s="140"/>
      <c r="D176" s="129"/>
      <c r="E176" s="129"/>
      <c r="F176" s="129"/>
      <c r="G176" s="139"/>
      <c r="H176" s="161"/>
      <c r="I176" s="125"/>
    </row>
    <row r="177" spans="1:9">
      <c r="A177" s="125"/>
      <c r="B177" s="140"/>
      <c r="C177" s="140"/>
      <c r="D177" s="129"/>
      <c r="E177" s="129"/>
      <c r="F177" s="129"/>
      <c r="G177" s="139"/>
      <c r="H177" s="161"/>
      <c r="I177" s="125"/>
    </row>
    <row r="178" spans="1:9">
      <c r="A178" s="125"/>
      <c r="B178" s="140"/>
      <c r="C178" s="140"/>
      <c r="D178" s="129"/>
      <c r="E178" s="129"/>
      <c r="F178" s="129"/>
      <c r="G178" s="139"/>
      <c r="H178" s="161"/>
      <c r="I178" s="125"/>
    </row>
    <row r="179" spans="1:9">
      <c r="A179" s="125"/>
      <c r="B179" s="140"/>
      <c r="C179" s="140"/>
      <c r="D179" s="129"/>
      <c r="E179" s="129"/>
      <c r="F179" s="129"/>
      <c r="G179" s="139"/>
      <c r="H179" s="161"/>
      <c r="I179" s="125"/>
    </row>
    <row r="180" spans="1:9">
      <c r="A180" s="125"/>
      <c r="B180" s="140"/>
      <c r="C180" s="140"/>
      <c r="D180" s="129"/>
      <c r="E180" s="129"/>
      <c r="F180" s="129"/>
      <c r="G180" s="139"/>
      <c r="H180" s="161"/>
      <c r="I180" s="125"/>
    </row>
    <row r="181" spans="1:9">
      <c r="A181" s="125"/>
      <c r="B181" s="140"/>
      <c r="C181" s="140"/>
      <c r="D181" s="129"/>
      <c r="E181" s="129"/>
      <c r="F181" s="129"/>
      <c r="G181" s="139"/>
      <c r="H181" s="161"/>
      <c r="I181" s="125"/>
    </row>
    <row r="182" spans="1:9">
      <c r="A182" s="125"/>
      <c r="B182" s="140"/>
      <c r="C182" s="140"/>
      <c r="D182" s="129"/>
      <c r="E182" s="129"/>
      <c r="F182" s="129"/>
      <c r="G182" s="139"/>
      <c r="H182" s="161"/>
      <c r="I182" s="125"/>
    </row>
    <row r="183" spans="1:9">
      <c r="A183" s="125"/>
      <c r="B183" s="140"/>
      <c r="C183" s="140"/>
      <c r="D183" s="129"/>
      <c r="E183" s="129"/>
      <c r="F183" s="129"/>
      <c r="G183" s="139"/>
      <c r="H183" s="161"/>
      <c r="I183" s="125"/>
    </row>
    <row r="184" spans="1:9">
      <c r="A184" s="125"/>
      <c r="B184" s="140"/>
      <c r="C184" s="140"/>
      <c r="D184" s="129"/>
      <c r="E184" s="129"/>
      <c r="F184" s="129"/>
      <c r="G184" s="139"/>
      <c r="H184" s="161"/>
      <c r="I184" s="125"/>
    </row>
    <row r="185" spans="1:9">
      <c r="A185" s="125"/>
      <c r="B185" s="140"/>
      <c r="C185" s="140"/>
      <c r="D185" s="129"/>
      <c r="E185" s="129"/>
      <c r="F185" s="129"/>
      <c r="G185" s="139"/>
      <c r="H185" s="161"/>
      <c r="I185" s="125"/>
    </row>
    <row r="186" spans="1:9">
      <c r="A186" s="125"/>
      <c r="B186" s="140"/>
      <c r="C186" s="140"/>
      <c r="D186" s="129"/>
      <c r="E186" s="129"/>
      <c r="F186" s="129"/>
      <c r="G186" s="139"/>
      <c r="H186" s="161"/>
      <c r="I186" s="125"/>
    </row>
    <row r="187" spans="1:9">
      <c r="A187" s="125"/>
      <c r="B187" s="140"/>
      <c r="C187" s="140"/>
      <c r="D187" s="129"/>
      <c r="E187" s="129"/>
      <c r="F187" s="129"/>
      <c r="G187" s="139"/>
      <c r="H187" s="161"/>
      <c r="I187" s="125"/>
    </row>
    <row r="188" spans="1:9">
      <c r="A188" s="125"/>
      <c r="B188" s="140"/>
      <c r="C188" s="140"/>
      <c r="D188" s="129"/>
      <c r="E188" s="129"/>
      <c r="F188" s="129"/>
      <c r="G188" s="139"/>
      <c r="H188" s="161"/>
      <c r="I188" s="125"/>
    </row>
    <row r="189" spans="1:9">
      <c r="A189" s="125"/>
      <c r="B189" s="140"/>
      <c r="C189" s="140"/>
      <c r="D189" s="129"/>
      <c r="E189" s="129"/>
      <c r="F189" s="129"/>
      <c r="G189" s="139"/>
      <c r="H189" s="161"/>
      <c r="I189" s="125"/>
    </row>
    <row r="190" spans="1:9">
      <c r="A190" s="125"/>
      <c r="B190" s="140"/>
      <c r="C190" s="140"/>
      <c r="D190" s="129"/>
      <c r="E190" s="129"/>
      <c r="F190" s="129"/>
      <c r="G190" s="139"/>
      <c r="H190" s="161"/>
      <c r="I190" s="125"/>
    </row>
    <row r="191" spans="1:9">
      <c r="A191" s="125"/>
      <c r="B191" s="140"/>
      <c r="C191" s="140"/>
      <c r="D191" s="129"/>
      <c r="E191" s="129"/>
      <c r="F191" s="129"/>
      <c r="G191" s="139"/>
      <c r="H191" s="161"/>
      <c r="I191" s="125"/>
    </row>
    <row r="192" spans="1:9">
      <c r="A192" s="125"/>
      <c r="B192" s="140"/>
      <c r="C192" s="140"/>
      <c r="D192" s="129"/>
      <c r="E192" s="129"/>
      <c r="F192" s="129"/>
      <c r="G192" s="139"/>
      <c r="H192" s="161"/>
      <c r="I192" s="125"/>
    </row>
    <row r="193" spans="1:9">
      <c r="A193" s="125"/>
      <c r="B193" s="140"/>
      <c r="C193" s="140"/>
      <c r="D193" s="129"/>
      <c r="E193" s="129"/>
      <c r="F193" s="129"/>
      <c r="G193" s="139"/>
      <c r="H193" s="161"/>
      <c r="I193" s="125"/>
    </row>
    <row r="194" spans="1:9">
      <c r="A194" s="125"/>
      <c r="B194" s="140"/>
      <c r="C194" s="140"/>
      <c r="D194" s="129"/>
      <c r="E194" s="129"/>
      <c r="F194" s="129"/>
      <c r="G194" s="139"/>
      <c r="H194" s="161"/>
      <c r="I194" s="125"/>
    </row>
    <row r="195" spans="1:9">
      <c r="A195" s="125"/>
      <c r="B195" s="140"/>
      <c r="C195" s="140"/>
      <c r="D195" s="129"/>
      <c r="E195" s="129"/>
      <c r="F195" s="129"/>
      <c r="G195" s="139"/>
      <c r="H195" s="161"/>
      <c r="I195" s="125"/>
    </row>
    <row r="196" spans="1:9">
      <c r="A196" s="125"/>
      <c r="B196" s="140"/>
      <c r="C196" s="140"/>
      <c r="D196" s="129"/>
      <c r="E196" s="129"/>
      <c r="F196" s="129"/>
      <c r="G196" s="139"/>
      <c r="H196" s="161"/>
      <c r="I196" s="125"/>
    </row>
    <row r="197" spans="1:9">
      <c r="A197" s="125"/>
      <c r="B197" s="140"/>
      <c r="C197" s="140"/>
      <c r="D197" s="129"/>
      <c r="E197" s="129"/>
      <c r="F197" s="129"/>
      <c r="G197" s="139"/>
      <c r="H197" s="161"/>
      <c r="I197" s="125"/>
    </row>
    <row r="198" spans="1:9">
      <c r="A198" s="125"/>
      <c r="B198" s="140"/>
      <c r="C198" s="140"/>
      <c r="D198" s="129"/>
      <c r="E198" s="129"/>
      <c r="F198" s="129"/>
      <c r="G198" s="139"/>
      <c r="H198" s="161"/>
      <c r="I198" s="125"/>
    </row>
    <row r="199" spans="1:9">
      <c r="A199" s="125"/>
      <c r="B199" s="140"/>
      <c r="C199" s="140"/>
      <c r="D199" s="129"/>
      <c r="E199" s="129"/>
      <c r="F199" s="129"/>
      <c r="G199" s="139"/>
      <c r="H199" s="161"/>
      <c r="I199" s="125"/>
    </row>
    <row r="200" spans="1:9">
      <c r="A200" s="125"/>
      <c r="B200" s="140"/>
      <c r="C200" s="140"/>
      <c r="D200" s="129"/>
      <c r="E200" s="129"/>
      <c r="F200" s="129"/>
      <c r="G200" s="139"/>
      <c r="H200" s="161"/>
      <c r="I200" s="125"/>
    </row>
    <row r="201" spans="1:9">
      <c r="A201" s="125"/>
      <c r="B201" s="140"/>
      <c r="C201" s="140"/>
      <c r="D201" s="129"/>
      <c r="E201" s="129"/>
      <c r="F201" s="129"/>
      <c r="G201" s="139"/>
      <c r="H201" s="161"/>
      <c r="I201" s="125"/>
    </row>
    <row r="202" spans="1:9">
      <c r="A202" s="125"/>
      <c r="B202" s="140"/>
      <c r="C202" s="140"/>
      <c r="D202" s="129"/>
      <c r="E202" s="129"/>
      <c r="F202" s="129"/>
      <c r="G202" s="139"/>
      <c r="H202" s="161"/>
      <c r="I202" s="125"/>
    </row>
    <row r="203" spans="1:9">
      <c r="A203" s="125"/>
      <c r="B203" s="140"/>
      <c r="C203" s="140"/>
      <c r="D203" s="129"/>
      <c r="E203" s="129"/>
      <c r="F203" s="129"/>
      <c r="G203" s="139"/>
      <c r="H203" s="161"/>
      <c r="I203" s="125"/>
    </row>
    <row r="204" spans="1:9">
      <c r="A204" s="125"/>
      <c r="B204" s="140"/>
      <c r="C204" s="140"/>
      <c r="D204" s="129"/>
      <c r="E204" s="129"/>
      <c r="F204" s="129"/>
      <c r="G204" s="139"/>
      <c r="H204" s="161"/>
      <c r="I204" s="125"/>
    </row>
    <row r="205" spans="1:9">
      <c r="A205" s="125"/>
      <c r="B205" s="140"/>
      <c r="C205" s="140"/>
      <c r="D205" s="129"/>
      <c r="E205" s="129"/>
      <c r="F205" s="129"/>
      <c r="G205" s="139"/>
      <c r="H205" s="161"/>
      <c r="I205" s="125"/>
    </row>
    <row r="206" spans="1:9">
      <c r="A206" s="125"/>
      <c r="B206" s="140"/>
      <c r="C206" s="140"/>
      <c r="D206" s="129"/>
      <c r="E206" s="129"/>
      <c r="F206" s="129"/>
      <c r="G206" s="139"/>
      <c r="H206" s="161"/>
      <c r="I206" s="125"/>
    </row>
    <row r="207" spans="1:9">
      <c r="A207" s="125"/>
      <c r="B207" s="140"/>
      <c r="C207" s="140"/>
      <c r="D207" s="129"/>
      <c r="E207" s="129"/>
      <c r="F207" s="129"/>
      <c r="G207" s="139"/>
      <c r="H207" s="161"/>
      <c r="I207" s="125"/>
    </row>
    <row r="208" spans="1:9">
      <c r="A208" s="125"/>
      <c r="B208" s="140"/>
      <c r="C208" s="140"/>
      <c r="D208" s="129"/>
      <c r="E208" s="129"/>
      <c r="F208" s="129"/>
      <c r="G208" s="139"/>
      <c r="H208" s="161"/>
      <c r="I208" s="125"/>
    </row>
    <row r="209" spans="1:9">
      <c r="A209" s="125"/>
      <c r="B209" s="140"/>
      <c r="C209" s="140"/>
      <c r="D209" s="129"/>
      <c r="E209" s="129"/>
      <c r="F209" s="129"/>
      <c r="G209" s="139"/>
      <c r="H209" s="161"/>
      <c r="I209" s="125"/>
    </row>
    <row r="210" spans="1:9">
      <c r="A210" s="125"/>
      <c r="B210" s="140"/>
      <c r="C210" s="140"/>
      <c r="D210" s="129"/>
      <c r="E210" s="129"/>
      <c r="F210" s="129"/>
      <c r="G210" s="139"/>
      <c r="H210" s="161"/>
      <c r="I210" s="125"/>
    </row>
    <row r="211" spans="1:9">
      <c r="A211" s="125"/>
      <c r="B211" s="140"/>
      <c r="C211" s="140"/>
      <c r="D211" s="129"/>
      <c r="E211" s="129"/>
      <c r="F211" s="129"/>
      <c r="G211" s="139"/>
      <c r="H211" s="161"/>
      <c r="I211" s="125"/>
    </row>
    <row r="212" spans="1:9">
      <c r="A212" s="125"/>
      <c r="B212" s="140"/>
      <c r="C212" s="140"/>
      <c r="D212" s="129"/>
      <c r="E212" s="129"/>
      <c r="F212" s="129"/>
      <c r="G212" s="139"/>
      <c r="H212" s="161"/>
      <c r="I212" s="125"/>
    </row>
    <row r="213" spans="1:9">
      <c r="A213" s="125"/>
      <c r="B213" s="140"/>
      <c r="C213" s="140"/>
      <c r="D213" s="129"/>
      <c r="E213" s="129"/>
      <c r="F213" s="129"/>
      <c r="G213" s="139"/>
      <c r="H213" s="161"/>
      <c r="I213" s="125"/>
    </row>
    <row r="214" spans="1:9">
      <c r="A214" s="125"/>
      <c r="B214" s="140"/>
      <c r="C214" s="140"/>
      <c r="D214" s="129"/>
      <c r="E214" s="129"/>
      <c r="F214" s="129"/>
      <c r="G214" s="139"/>
      <c r="H214" s="161"/>
      <c r="I214" s="125"/>
    </row>
    <row r="215" spans="1:9">
      <c r="A215" s="125"/>
      <c r="B215" s="140"/>
      <c r="C215" s="140"/>
      <c r="D215" s="129"/>
      <c r="E215" s="129"/>
      <c r="F215" s="129"/>
      <c r="G215" s="139"/>
      <c r="H215" s="161"/>
      <c r="I215" s="125"/>
    </row>
    <row r="216" spans="1:9">
      <c r="A216" s="125"/>
      <c r="B216" s="140"/>
      <c r="C216" s="140"/>
      <c r="D216" s="129"/>
      <c r="E216" s="129"/>
      <c r="F216" s="129"/>
      <c r="G216" s="139"/>
      <c r="H216" s="161"/>
      <c r="I216" s="125"/>
    </row>
    <row r="217" spans="1:9">
      <c r="A217" s="125"/>
      <c r="B217" s="140"/>
      <c r="C217" s="140"/>
      <c r="D217" s="129"/>
      <c r="E217" s="129"/>
      <c r="F217" s="129"/>
      <c r="G217" s="139"/>
      <c r="H217" s="161"/>
      <c r="I217" s="125"/>
    </row>
    <row r="218" spans="1:9">
      <c r="A218" s="125"/>
      <c r="B218" s="140"/>
      <c r="C218" s="140"/>
      <c r="D218" s="129"/>
      <c r="E218" s="129"/>
      <c r="F218" s="129"/>
      <c r="G218" s="139"/>
      <c r="H218" s="161"/>
      <c r="I218" s="125"/>
    </row>
    <row r="219" spans="1:9">
      <c r="A219" s="125"/>
      <c r="B219" s="140"/>
      <c r="C219" s="140"/>
      <c r="D219" s="129"/>
      <c r="E219" s="129"/>
      <c r="F219" s="129"/>
      <c r="G219" s="139"/>
      <c r="H219" s="161"/>
      <c r="I219" s="125"/>
    </row>
    <row r="220" spans="1:9">
      <c r="A220" s="125"/>
      <c r="B220" s="140"/>
      <c r="C220" s="140"/>
      <c r="D220" s="129"/>
      <c r="E220" s="129"/>
      <c r="F220" s="129"/>
      <c r="G220" s="139"/>
      <c r="H220" s="161"/>
      <c r="I220" s="125"/>
    </row>
    <row r="221" spans="1:9">
      <c r="A221" s="125"/>
      <c r="B221" s="140"/>
      <c r="C221" s="140"/>
      <c r="D221" s="129"/>
      <c r="E221" s="129"/>
      <c r="F221" s="129"/>
      <c r="G221" s="139"/>
      <c r="H221" s="161"/>
      <c r="I221" s="125"/>
    </row>
    <row r="222" spans="1:9">
      <c r="A222" s="125"/>
      <c r="B222" s="140"/>
      <c r="C222" s="140"/>
      <c r="D222" s="129"/>
      <c r="E222" s="129"/>
      <c r="F222" s="129"/>
      <c r="G222" s="139"/>
      <c r="H222" s="161"/>
      <c r="I222" s="125"/>
    </row>
    <row r="223" spans="1:9">
      <c r="A223" s="125"/>
      <c r="B223" s="140"/>
      <c r="C223" s="140"/>
      <c r="D223" s="129"/>
      <c r="E223" s="129"/>
      <c r="F223" s="129"/>
      <c r="G223" s="139"/>
      <c r="H223" s="161"/>
      <c r="I223" s="125"/>
    </row>
    <row r="224" spans="1:9">
      <c r="A224" s="125"/>
      <c r="B224" s="140"/>
      <c r="C224" s="140"/>
      <c r="D224" s="129"/>
      <c r="E224" s="129"/>
      <c r="F224" s="129"/>
      <c r="G224" s="139"/>
      <c r="H224" s="161"/>
      <c r="I224" s="125"/>
    </row>
    <row r="225" spans="1:9">
      <c r="A225" s="125"/>
      <c r="B225" s="140"/>
      <c r="C225" s="140"/>
      <c r="D225" s="129"/>
      <c r="E225" s="129"/>
      <c r="F225" s="129"/>
      <c r="G225" s="139"/>
      <c r="H225" s="161"/>
      <c r="I225" s="125"/>
    </row>
    <row r="226" spans="1:9">
      <c r="A226" s="125"/>
      <c r="B226" s="140"/>
      <c r="C226" s="140"/>
      <c r="D226" s="129"/>
      <c r="E226" s="129"/>
      <c r="F226" s="129"/>
      <c r="G226" s="139"/>
      <c r="H226" s="161"/>
      <c r="I226" s="125"/>
    </row>
    <row r="227" spans="1:9">
      <c r="A227" s="125"/>
      <c r="B227" s="140"/>
      <c r="C227" s="140"/>
      <c r="D227" s="129"/>
      <c r="E227" s="129"/>
      <c r="F227" s="129"/>
      <c r="G227" s="139"/>
      <c r="H227" s="161"/>
      <c r="I227" s="125"/>
    </row>
    <row r="228" spans="1:9">
      <c r="A228" s="125"/>
      <c r="B228" s="140"/>
      <c r="C228" s="140"/>
      <c r="D228" s="129"/>
      <c r="E228" s="129"/>
      <c r="F228" s="129"/>
      <c r="G228" s="139"/>
      <c r="H228" s="161"/>
      <c r="I228" s="125"/>
    </row>
    <row r="229" spans="1:9">
      <c r="A229" s="125"/>
      <c r="B229" s="140"/>
      <c r="C229" s="140"/>
      <c r="D229" s="129"/>
      <c r="E229" s="129"/>
      <c r="F229" s="129"/>
      <c r="G229" s="139"/>
      <c r="H229" s="161"/>
      <c r="I229" s="125"/>
    </row>
    <row r="230" spans="1:9">
      <c r="A230" s="125"/>
      <c r="B230" s="140"/>
      <c r="C230" s="140"/>
      <c r="D230" s="129"/>
      <c r="E230" s="129"/>
      <c r="F230" s="129"/>
      <c r="G230" s="139"/>
      <c r="H230" s="161"/>
      <c r="I230" s="125"/>
    </row>
    <row r="231" spans="1:9">
      <c r="A231" s="125"/>
      <c r="B231" s="140"/>
      <c r="C231" s="140"/>
      <c r="D231" s="129"/>
      <c r="E231" s="129"/>
      <c r="F231" s="129"/>
      <c r="G231" s="139"/>
      <c r="H231" s="161"/>
      <c r="I231" s="125"/>
    </row>
    <row r="232" spans="1:9">
      <c r="A232" s="125"/>
      <c r="B232" s="140"/>
      <c r="C232" s="140"/>
      <c r="D232" s="129"/>
      <c r="E232" s="129"/>
      <c r="F232" s="129"/>
      <c r="G232" s="139"/>
      <c r="H232" s="161"/>
      <c r="I232" s="125"/>
    </row>
    <row r="233" spans="1:9">
      <c r="A233" s="125"/>
      <c r="B233" s="140"/>
      <c r="C233" s="140"/>
      <c r="D233" s="129"/>
      <c r="E233" s="129"/>
      <c r="F233" s="129"/>
      <c r="G233" s="139"/>
      <c r="H233" s="161"/>
      <c r="I233" s="125"/>
    </row>
    <row r="234" spans="1:9">
      <c r="A234" s="125"/>
      <c r="B234" s="140"/>
      <c r="C234" s="140"/>
      <c r="D234" s="129"/>
      <c r="E234" s="129"/>
      <c r="F234" s="129"/>
      <c r="G234" s="139"/>
      <c r="H234" s="161"/>
      <c r="I234" s="125"/>
    </row>
    <row r="235" spans="1:9">
      <c r="A235" s="125"/>
      <c r="B235" s="140"/>
      <c r="C235" s="140"/>
      <c r="D235" s="129"/>
      <c r="E235" s="129"/>
      <c r="F235" s="129"/>
      <c r="G235" s="139"/>
      <c r="H235" s="161"/>
      <c r="I235" s="125"/>
    </row>
    <row r="236" spans="1:9">
      <c r="A236" s="125"/>
      <c r="B236" s="140"/>
      <c r="C236" s="140"/>
      <c r="D236" s="129"/>
      <c r="E236" s="129"/>
      <c r="F236" s="129"/>
      <c r="G236" s="139"/>
      <c r="H236" s="161"/>
      <c r="I236" s="125"/>
    </row>
    <row r="237" spans="1:9">
      <c r="A237" s="125"/>
      <c r="B237" s="140"/>
      <c r="C237" s="140"/>
      <c r="D237" s="129"/>
      <c r="E237" s="129"/>
      <c r="F237" s="129"/>
      <c r="G237" s="139"/>
      <c r="H237" s="161"/>
      <c r="I237" s="125"/>
    </row>
    <row r="238" spans="1:9">
      <c r="A238" s="125"/>
      <c r="B238" s="140"/>
      <c r="C238" s="140"/>
      <c r="D238" s="129"/>
      <c r="E238" s="129"/>
      <c r="F238" s="129"/>
      <c r="G238" s="139"/>
      <c r="H238" s="161"/>
      <c r="I238" s="125"/>
    </row>
    <row r="239" spans="1:9">
      <c r="A239" s="125"/>
      <c r="B239" s="140"/>
      <c r="C239" s="140"/>
      <c r="D239" s="129"/>
      <c r="E239" s="129"/>
      <c r="F239" s="129"/>
      <c r="G239" s="139"/>
      <c r="H239" s="161"/>
      <c r="I239" s="125"/>
    </row>
    <row r="240" spans="1:9">
      <c r="A240" s="125"/>
      <c r="B240" s="140"/>
      <c r="C240" s="140"/>
      <c r="D240" s="129"/>
      <c r="E240" s="129"/>
      <c r="F240" s="129"/>
      <c r="G240" s="139"/>
      <c r="H240" s="161"/>
      <c r="I240" s="125"/>
    </row>
    <row r="241" spans="1:9">
      <c r="A241" s="125"/>
      <c r="B241" s="140"/>
      <c r="C241" s="140"/>
      <c r="D241" s="129"/>
      <c r="E241" s="129"/>
      <c r="F241" s="129"/>
      <c r="G241" s="139"/>
      <c r="H241" s="161"/>
      <c r="I241" s="125"/>
    </row>
    <row r="242" spans="1:9">
      <c r="A242" s="125"/>
      <c r="B242" s="140"/>
      <c r="C242" s="140"/>
      <c r="D242" s="129"/>
      <c r="E242" s="129"/>
      <c r="F242" s="129"/>
      <c r="G242" s="139"/>
      <c r="H242" s="161"/>
      <c r="I242" s="125"/>
    </row>
    <row r="243" spans="1:9">
      <c r="A243" s="125"/>
      <c r="B243" s="140"/>
      <c r="C243" s="140"/>
      <c r="D243" s="129"/>
      <c r="E243" s="129"/>
      <c r="F243" s="129"/>
      <c r="G243" s="139"/>
      <c r="H243" s="161"/>
      <c r="I243" s="125"/>
    </row>
    <row r="244" spans="1:9">
      <c r="A244" s="125"/>
      <c r="B244" s="140"/>
      <c r="C244" s="140"/>
      <c r="D244" s="129"/>
      <c r="E244" s="129"/>
      <c r="F244" s="129"/>
      <c r="G244" s="139"/>
      <c r="H244" s="161"/>
      <c r="I244" s="125"/>
    </row>
    <row r="245" spans="1:9">
      <c r="A245" s="125"/>
      <c r="B245" s="140"/>
      <c r="C245" s="140"/>
      <c r="D245" s="129"/>
      <c r="E245" s="129"/>
      <c r="F245" s="129"/>
      <c r="G245" s="139"/>
      <c r="H245" s="161"/>
      <c r="I245" s="125"/>
    </row>
    <row r="246" spans="1:9">
      <c r="A246" s="125"/>
      <c r="B246" s="140"/>
      <c r="C246" s="140"/>
      <c r="D246" s="129"/>
      <c r="E246" s="129"/>
      <c r="F246" s="129"/>
      <c r="G246" s="139"/>
      <c r="H246" s="161"/>
      <c r="I246" s="125"/>
    </row>
    <row r="247" spans="1:9">
      <c r="A247" s="125"/>
      <c r="B247" s="140"/>
      <c r="C247" s="140"/>
      <c r="D247" s="129"/>
      <c r="E247" s="129"/>
      <c r="F247" s="129"/>
      <c r="G247" s="139"/>
      <c r="H247" s="161"/>
      <c r="I247" s="125"/>
    </row>
    <row r="248" spans="1:9">
      <c r="A248" s="125"/>
      <c r="B248" s="140"/>
      <c r="C248" s="140"/>
      <c r="D248" s="129"/>
      <c r="E248" s="129"/>
      <c r="F248" s="129"/>
      <c r="G248" s="139"/>
      <c r="H248" s="161"/>
      <c r="I248" s="125"/>
    </row>
    <row r="249" spans="1:9">
      <c r="A249" s="125"/>
      <c r="B249" s="140"/>
      <c r="C249" s="140"/>
      <c r="D249" s="129"/>
      <c r="E249" s="129"/>
      <c r="F249" s="129"/>
      <c r="G249" s="139"/>
      <c r="H249" s="161"/>
      <c r="I249" s="125"/>
    </row>
    <row r="250" spans="1:9">
      <c r="A250" s="125"/>
      <c r="B250" s="140"/>
      <c r="C250" s="140"/>
      <c r="D250" s="129"/>
      <c r="E250" s="129"/>
      <c r="F250" s="129"/>
      <c r="G250" s="139"/>
      <c r="H250" s="161"/>
      <c r="I250" s="125"/>
    </row>
    <row r="251" spans="1:9">
      <c r="A251" s="125"/>
      <c r="B251" s="140"/>
      <c r="C251" s="140"/>
      <c r="D251" s="129"/>
      <c r="E251" s="129"/>
      <c r="F251" s="129"/>
      <c r="G251" s="139"/>
      <c r="H251" s="161"/>
      <c r="I251" s="125"/>
    </row>
    <row r="252" spans="1:9">
      <c r="A252" s="125"/>
      <c r="B252" s="140"/>
      <c r="C252" s="140"/>
      <c r="D252" s="129"/>
      <c r="E252" s="129"/>
      <c r="F252" s="129"/>
      <c r="G252" s="139"/>
      <c r="H252" s="161"/>
      <c r="I252" s="125"/>
    </row>
    <row r="253" spans="1:9">
      <c r="A253" s="125"/>
      <c r="B253" s="140"/>
      <c r="C253" s="140"/>
      <c r="D253" s="129"/>
      <c r="E253" s="129"/>
      <c r="F253" s="129"/>
      <c r="G253" s="139"/>
      <c r="H253" s="161"/>
      <c r="I253" s="125"/>
    </row>
    <row r="254" spans="1:9">
      <c r="A254" s="125"/>
      <c r="B254" s="140"/>
      <c r="C254" s="140"/>
      <c r="D254" s="129"/>
      <c r="E254" s="129"/>
      <c r="F254" s="129"/>
      <c r="G254" s="139"/>
      <c r="H254" s="161"/>
      <c r="I254" s="125"/>
    </row>
    <row r="255" spans="1:9">
      <c r="A255" s="125"/>
      <c r="B255" s="140"/>
      <c r="C255" s="140"/>
      <c r="D255" s="129"/>
      <c r="E255" s="129"/>
      <c r="F255" s="129"/>
      <c r="G255" s="139"/>
      <c r="H255" s="161"/>
      <c r="I255" s="125"/>
    </row>
    <row r="256" spans="1:9">
      <c r="A256" s="125"/>
      <c r="B256" s="140"/>
      <c r="C256" s="140"/>
      <c r="D256" s="129"/>
      <c r="E256" s="129"/>
      <c r="F256" s="129"/>
      <c r="G256" s="139"/>
      <c r="H256" s="161"/>
      <c r="I256" s="125"/>
    </row>
    <row r="257" spans="1:9">
      <c r="A257" s="125"/>
      <c r="B257" s="140"/>
      <c r="C257" s="140"/>
      <c r="D257" s="129"/>
      <c r="E257" s="129"/>
      <c r="F257" s="129"/>
      <c r="G257" s="139"/>
      <c r="H257" s="161"/>
      <c r="I257" s="125"/>
    </row>
    <row r="258" spans="1:9">
      <c r="A258" s="125"/>
      <c r="B258" s="140"/>
      <c r="C258" s="140"/>
      <c r="D258" s="129"/>
      <c r="E258" s="129"/>
      <c r="F258" s="129"/>
      <c r="G258" s="139"/>
      <c r="H258" s="161"/>
      <c r="I258" s="125"/>
    </row>
    <row r="259" spans="1:9">
      <c r="A259" s="125"/>
      <c r="B259" s="140"/>
      <c r="C259" s="140"/>
      <c r="D259" s="129"/>
      <c r="E259" s="129"/>
      <c r="F259" s="129"/>
      <c r="G259" s="139"/>
      <c r="H259" s="161"/>
      <c r="I259" s="125"/>
    </row>
    <row r="260" spans="1:9">
      <c r="A260" s="125"/>
      <c r="B260" s="140"/>
      <c r="C260" s="140"/>
      <c r="D260" s="129"/>
      <c r="E260" s="129"/>
      <c r="F260" s="129"/>
      <c r="G260" s="139"/>
      <c r="H260" s="161"/>
      <c r="I260" s="125"/>
    </row>
    <row r="261" spans="1:9">
      <c r="A261" s="125"/>
      <c r="B261" s="140"/>
      <c r="C261" s="140"/>
      <c r="D261" s="129"/>
      <c r="E261" s="129"/>
      <c r="F261" s="129"/>
      <c r="G261" s="139"/>
      <c r="H261" s="161"/>
      <c r="I261" s="125"/>
    </row>
    <row r="262" spans="1:9">
      <c r="A262" s="125"/>
      <c r="B262" s="140"/>
      <c r="C262" s="140"/>
      <c r="D262" s="129"/>
      <c r="E262" s="129"/>
      <c r="F262" s="129"/>
      <c r="G262" s="139"/>
      <c r="H262" s="161"/>
      <c r="I262" s="125"/>
    </row>
    <row r="263" spans="1:9">
      <c r="A263" s="125"/>
      <c r="B263" s="140"/>
      <c r="C263" s="140"/>
      <c r="D263" s="129"/>
      <c r="E263" s="129"/>
      <c r="F263" s="129"/>
      <c r="G263" s="139"/>
      <c r="H263" s="161"/>
      <c r="I263" s="125"/>
    </row>
    <row r="264" spans="1:9">
      <c r="A264" s="125"/>
      <c r="B264" s="140"/>
      <c r="C264" s="140"/>
      <c r="D264" s="129"/>
      <c r="E264" s="129"/>
      <c r="F264" s="129"/>
      <c r="G264" s="139"/>
      <c r="H264" s="161"/>
      <c r="I264" s="125"/>
    </row>
    <row r="265" spans="1:9">
      <c r="A265" s="125"/>
      <c r="B265" s="140"/>
      <c r="C265" s="140"/>
      <c r="D265" s="129"/>
      <c r="E265" s="129"/>
      <c r="F265" s="129"/>
      <c r="G265" s="139"/>
      <c r="H265" s="161"/>
      <c r="I265" s="125"/>
    </row>
    <row r="266" spans="1:9">
      <c r="A266" s="125"/>
      <c r="B266" s="140"/>
      <c r="C266" s="140"/>
      <c r="D266" s="129"/>
      <c r="E266" s="129"/>
      <c r="F266" s="129"/>
      <c r="G266" s="139"/>
      <c r="H266" s="161"/>
      <c r="I266" s="125"/>
    </row>
    <row r="267" spans="1:9">
      <c r="A267" s="125"/>
      <c r="B267" s="125"/>
      <c r="C267" s="125"/>
      <c r="D267" s="125" t="s">
        <v>155</v>
      </c>
      <c r="E267" s="125" t="s">
        <v>155</v>
      </c>
      <c r="F267" s="125" t="s">
        <v>155</v>
      </c>
      <c r="G267" s="125"/>
      <c r="H267" s="125"/>
      <c r="I267" s="125"/>
    </row>
  </sheetData>
  <mergeCells count="4">
    <mergeCell ref="B6:D6"/>
    <mergeCell ref="B7:D7"/>
    <mergeCell ref="B2:C2"/>
    <mergeCell ref="D2:G2"/>
  </mergeCells>
  <dataValidations count="2">
    <dataValidation type="list" allowBlank="1" showInputMessage="1" showErrorMessage="1" sqref="F11:F266">
      <formula1>Aplicaciones</formula1>
    </dataValidation>
    <dataValidation type="list" allowBlank="1" showInputMessage="1" showErrorMessage="1" sqref="E8">
      <formula1>Contacto</formula1>
    </dataValidation>
  </dataValidations>
  <pageMargins left="0.7" right="0.7" top="0.75" bottom="0.75" header="0.3" footer="0.3"/>
  <drawing r:id="rId1"/>
  <legacyDrawing r:id="rId2"/>
  <oleObjects>
    <mc:AlternateContent xmlns:mc="http://schemas.openxmlformats.org/markup-compatibility/2006">
      <mc:Choice Requires="x14">
        <oleObject progId="PBrush" shapeId="15363" r:id="rId3">
          <objectPr defaultSize="0" autoPict="0" r:id="rId4">
            <anchor moveWithCells="1" sizeWithCells="1">
              <from>
                <xdr:col>1</xdr:col>
                <xdr:colOff>266700</xdr:colOff>
                <xdr:row>1</xdr:row>
                <xdr:rowOff>57150</xdr:rowOff>
              </from>
              <to>
                <xdr:col>2</xdr:col>
                <xdr:colOff>257175</xdr:colOff>
                <xdr:row>1</xdr:row>
                <xdr:rowOff>457200</xdr:rowOff>
              </to>
            </anchor>
          </objectPr>
        </oleObject>
      </mc:Choice>
      <mc:Fallback>
        <oleObject progId="PBrush" shapeId="15363" r:id="rId3"/>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2:Q509"/>
  <sheetViews>
    <sheetView showGridLines="0" topLeftCell="D29" zoomScale="85" zoomScaleNormal="85" workbookViewId="0">
      <selection activeCell="I30" sqref="I30"/>
    </sheetView>
  </sheetViews>
  <sheetFormatPr baseColWidth="10" defaultColWidth="11.42578125" defaultRowHeight="12.75"/>
  <cols>
    <col min="1" max="1" width="3.5703125" customWidth="1"/>
    <col min="5" max="5" width="70.140625" style="271" customWidth="1"/>
    <col min="6" max="6" width="11.85546875" customWidth="1"/>
    <col min="7" max="7" width="11.42578125" style="251"/>
    <col min="8" max="8" width="13.140625" style="278" customWidth="1"/>
    <col min="9" max="9" width="17.42578125" style="254" customWidth="1"/>
    <col min="10" max="10" width="19.140625" style="254" customWidth="1"/>
    <col min="11" max="11" width="13.28515625" style="254" customWidth="1"/>
    <col min="12" max="12" width="16.7109375" style="254" customWidth="1"/>
    <col min="13" max="13" width="4.5703125" style="254" customWidth="1"/>
    <col min="14" max="14" width="17.7109375" style="254" customWidth="1"/>
    <col min="15" max="15" width="6.42578125" style="254" customWidth="1"/>
  </cols>
  <sheetData>
    <row r="2" spans="1:17" ht="36.75" customHeight="1">
      <c r="A2" s="126"/>
      <c r="B2" s="380"/>
      <c r="C2" s="384"/>
      <c r="D2" s="385" t="s">
        <v>323</v>
      </c>
      <c r="E2" s="385"/>
      <c r="F2" s="385"/>
      <c r="G2" s="385"/>
      <c r="H2" s="385"/>
      <c r="I2" s="385"/>
      <c r="J2" s="385"/>
      <c r="K2" s="385"/>
      <c r="L2" s="385"/>
      <c r="M2" s="385"/>
      <c r="N2" s="385"/>
      <c r="O2" s="152"/>
      <c r="P2" s="68"/>
    </row>
    <row r="3" spans="1:17" ht="15.75" customHeight="1">
      <c r="A3" s="126"/>
      <c r="B3" s="209"/>
      <c r="C3" s="209"/>
      <c r="D3" s="181"/>
      <c r="E3" s="270"/>
      <c r="F3" s="181"/>
      <c r="G3" s="181"/>
      <c r="H3" s="277"/>
      <c r="I3" s="181"/>
      <c r="J3" s="181"/>
      <c r="K3" s="181"/>
      <c r="L3" s="181"/>
      <c r="M3" s="181"/>
      <c r="N3" s="181"/>
      <c r="O3" s="211"/>
      <c r="P3" s="68"/>
    </row>
    <row r="4" spans="1:17" ht="18">
      <c r="B4" s="141" t="s">
        <v>156</v>
      </c>
      <c r="C4" s="141"/>
    </row>
    <row r="5" spans="1:17" ht="18">
      <c r="B5" s="141"/>
      <c r="C5" s="141"/>
      <c r="F5" s="142"/>
    </row>
    <row r="6" spans="1:17">
      <c r="B6" s="379" t="s">
        <v>145</v>
      </c>
      <c r="C6" s="379"/>
      <c r="D6" s="379"/>
      <c r="E6" s="382" t="str">
        <f>IF(NOT(ISBLANK('Requerimientos de usuario'!E6)),'Requerimientos de usuario'!E6," ")</f>
        <v>LP08</v>
      </c>
      <c r="F6" s="383"/>
      <c r="I6" s="255"/>
    </row>
    <row r="7" spans="1:17">
      <c r="A7" s="143"/>
      <c r="B7" s="379" t="s">
        <v>146</v>
      </c>
      <c r="C7" s="379"/>
      <c r="D7" s="379"/>
      <c r="E7" s="382" t="str">
        <f>IF(NOT(ISBLANK('Requerimientos de usuario'!E7)),'Requerimientos de usuario'!E7," ")</f>
        <v>Carla Avendaño</v>
      </c>
      <c r="F7" s="383"/>
      <c r="G7" s="137"/>
      <c r="H7" s="279"/>
      <c r="I7" s="257"/>
      <c r="J7" s="256"/>
      <c r="K7" s="256"/>
      <c r="L7" s="256"/>
      <c r="M7" s="256"/>
      <c r="N7" s="256"/>
      <c r="O7" s="256"/>
      <c r="P7" s="131"/>
    </row>
    <row r="8" spans="1:17" ht="18">
      <c r="B8" s="141"/>
      <c r="C8" s="141"/>
      <c r="D8" s="141"/>
    </row>
    <row r="9" spans="1:17" ht="63.75">
      <c r="A9" s="144"/>
      <c r="B9" s="145" t="s">
        <v>13</v>
      </c>
      <c r="C9" s="145" t="s">
        <v>148</v>
      </c>
      <c r="D9" s="145" t="s">
        <v>157</v>
      </c>
      <c r="E9" s="272" t="s">
        <v>158</v>
      </c>
      <c r="F9" s="145" t="s">
        <v>159</v>
      </c>
      <c r="G9" s="145" t="s">
        <v>160</v>
      </c>
      <c r="H9" s="280" t="s">
        <v>161</v>
      </c>
      <c r="I9" s="145" t="s">
        <v>162</v>
      </c>
      <c r="J9" s="145" t="s">
        <v>163</v>
      </c>
      <c r="K9" s="145" t="s">
        <v>151</v>
      </c>
      <c r="L9" s="145" t="s">
        <v>164</v>
      </c>
      <c r="M9" s="145" t="s">
        <v>165</v>
      </c>
      <c r="N9" s="145" t="s">
        <v>153</v>
      </c>
      <c r="O9" s="145" t="s">
        <v>166</v>
      </c>
      <c r="P9" s="144"/>
    </row>
    <row r="10" spans="1:17" s="248" customFormat="1" ht="38.25">
      <c r="B10" s="146">
        <v>8679</v>
      </c>
      <c r="C10" s="147" t="s">
        <v>431</v>
      </c>
      <c r="D10" s="147" t="s">
        <v>434</v>
      </c>
      <c r="E10" s="273" t="s">
        <v>444</v>
      </c>
      <c r="F10" s="252" t="s">
        <v>167</v>
      </c>
      <c r="G10" s="266" t="s">
        <v>451</v>
      </c>
      <c r="H10" s="281" t="s">
        <v>452</v>
      </c>
      <c r="I10" s="258" t="s">
        <v>168</v>
      </c>
      <c r="J10" s="258" t="s">
        <v>169</v>
      </c>
      <c r="K10" s="258" t="s">
        <v>154</v>
      </c>
      <c r="L10" s="259">
        <v>42486</v>
      </c>
      <c r="M10" s="259" t="s">
        <v>239</v>
      </c>
      <c r="N10" s="258">
        <v>1</v>
      </c>
      <c r="O10" s="258" t="s">
        <v>139</v>
      </c>
      <c r="Q10" s="248">
        <f>27*1.2</f>
        <v>32.4</v>
      </c>
    </row>
    <row r="11" spans="1:17" s="248" customFormat="1" ht="51">
      <c r="B11" s="146">
        <v>8679</v>
      </c>
      <c r="C11" s="262" t="s">
        <v>431</v>
      </c>
      <c r="D11" s="147" t="s">
        <v>456</v>
      </c>
      <c r="E11" s="273" t="s">
        <v>477</v>
      </c>
      <c r="F11" s="252" t="s">
        <v>167</v>
      </c>
      <c r="G11" s="266" t="s">
        <v>451</v>
      </c>
      <c r="H11" s="281" t="s">
        <v>452</v>
      </c>
      <c r="I11" s="258" t="s">
        <v>168</v>
      </c>
      <c r="J11" s="258" t="s">
        <v>169</v>
      </c>
      <c r="K11" s="258" t="s">
        <v>154</v>
      </c>
      <c r="L11" s="259">
        <v>42486</v>
      </c>
      <c r="M11" s="259" t="s">
        <v>239</v>
      </c>
      <c r="N11" s="258">
        <v>1</v>
      </c>
      <c r="O11" s="258" t="s">
        <v>139</v>
      </c>
    </row>
    <row r="12" spans="1:17" s="248" customFormat="1" ht="25.5">
      <c r="B12" s="146">
        <v>8679</v>
      </c>
      <c r="C12" s="262" t="s">
        <v>431</v>
      </c>
      <c r="D12" s="147" t="s">
        <v>457</v>
      </c>
      <c r="E12" s="274" t="s">
        <v>480</v>
      </c>
      <c r="F12" s="252" t="s">
        <v>167</v>
      </c>
      <c r="G12" s="266" t="s">
        <v>451</v>
      </c>
      <c r="H12" s="281" t="s">
        <v>452</v>
      </c>
      <c r="I12" s="258" t="s">
        <v>168</v>
      </c>
      <c r="J12" s="258" t="s">
        <v>169</v>
      </c>
      <c r="K12" s="258" t="s">
        <v>154</v>
      </c>
      <c r="L12" s="259">
        <v>42486</v>
      </c>
      <c r="M12" s="259" t="s">
        <v>239</v>
      </c>
      <c r="N12" s="264">
        <v>0.5</v>
      </c>
      <c r="O12" s="258" t="s">
        <v>139</v>
      </c>
    </row>
    <row r="13" spans="1:17" s="248" customFormat="1" ht="25.5">
      <c r="B13" s="146">
        <v>8679</v>
      </c>
      <c r="C13" s="262" t="s">
        <v>431</v>
      </c>
      <c r="D13" s="147" t="s">
        <v>458</v>
      </c>
      <c r="E13" s="274" t="s">
        <v>481</v>
      </c>
      <c r="F13" s="252" t="s">
        <v>167</v>
      </c>
      <c r="G13" s="266" t="s">
        <v>451</v>
      </c>
      <c r="H13" s="281" t="s">
        <v>452</v>
      </c>
      <c r="I13" s="258" t="s">
        <v>168</v>
      </c>
      <c r="J13" s="258" t="s">
        <v>169</v>
      </c>
      <c r="K13" s="258" t="s">
        <v>154</v>
      </c>
      <c r="L13" s="259">
        <v>42486</v>
      </c>
      <c r="M13" s="259" t="s">
        <v>239</v>
      </c>
      <c r="N13" s="264">
        <v>0.5</v>
      </c>
      <c r="O13" s="258" t="s">
        <v>139</v>
      </c>
    </row>
    <row r="14" spans="1:17" ht="25.5">
      <c r="B14" s="146">
        <v>8679</v>
      </c>
      <c r="C14" s="262" t="s">
        <v>431</v>
      </c>
      <c r="D14" s="147" t="s">
        <v>459</v>
      </c>
      <c r="E14" s="274" t="s">
        <v>482</v>
      </c>
      <c r="F14" s="252" t="s">
        <v>167</v>
      </c>
      <c r="G14" s="266" t="s">
        <v>451</v>
      </c>
      <c r="H14" s="281" t="s">
        <v>452</v>
      </c>
      <c r="I14" s="258" t="s">
        <v>168</v>
      </c>
      <c r="J14" s="258" t="s">
        <v>169</v>
      </c>
      <c r="K14" s="258" t="s">
        <v>154</v>
      </c>
      <c r="L14" s="259">
        <v>42486</v>
      </c>
      <c r="M14" s="259" t="s">
        <v>239</v>
      </c>
      <c r="N14" s="264">
        <v>0.5</v>
      </c>
      <c r="O14" s="258" t="s">
        <v>139</v>
      </c>
    </row>
    <row r="15" spans="1:17" ht="25.5">
      <c r="B15" s="146">
        <v>8679</v>
      </c>
      <c r="C15" s="262" t="s">
        <v>431</v>
      </c>
      <c r="D15" s="147" t="s">
        <v>460</v>
      </c>
      <c r="E15" s="274" t="s">
        <v>445</v>
      </c>
      <c r="F15" s="252" t="s">
        <v>167</v>
      </c>
      <c r="G15" s="266" t="s">
        <v>451</v>
      </c>
      <c r="H15" s="281" t="s">
        <v>452</v>
      </c>
      <c r="I15" s="258" t="s">
        <v>168</v>
      </c>
      <c r="J15" s="258" t="s">
        <v>169</v>
      </c>
      <c r="K15" s="258" t="s">
        <v>154</v>
      </c>
      <c r="L15" s="259">
        <v>42486</v>
      </c>
      <c r="M15" s="259" t="s">
        <v>239</v>
      </c>
      <c r="N15" s="264">
        <v>0.5</v>
      </c>
      <c r="O15" s="258" t="s">
        <v>139</v>
      </c>
    </row>
    <row r="16" spans="1:17" ht="25.5">
      <c r="B16" s="146">
        <v>8679</v>
      </c>
      <c r="C16" s="262" t="s">
        <v>431</v>
      </c>
      <c r="D16" s="147" t="s">
        <v>461</v>
      </c>
      <c r="E16" s="274" t="s">
        <v>446</v>
      </c>
      <c r="F16" s="252" t="s">
        <v>167</v>
      </c>
      <c r="G16" s="266" t="s">
        <v>451</v>
      </c>
      <c r="H16" s="281" t="s">
        <v>452</v>
      </c>
      <c r="I16" s="258" t="s">
        <v>168</v>
      </c>
      <c r="J16" s="258" t="s">
        <v>169</v>
      </c>
      <c r="K16" s="258" t="s">
        <v>154</v>
      </c>
      <c r="L16" s="259">
        <v>42486</v>
      </c>
      <c r="M16" s="259" t="s">
        <v>239</v>
      </c>
      <c r="N16" s="264">
        <v>0.5</v>
      </c>
      <c r="O16" s="258" t="s">
        <v>139</v>
      </c>
    </row>
    <row r="17" spans="2:15" ht="51">
      <c r="B17" s="146">
        <v>8679</v>
      </c>
      <c r="C17" s="262" t="s">
        <v>431</v>
      </c>
      <c r="D17" s="147" t="s">
        <v>462</v>
      </c>
      <c r="E17" s="274" t="s">
        <v>483</v>
      </c>
      <c r="F17" s="252" t="s">
        <v>167</v>
      </c>
      <c r="G17" s="266" t="s">
        <v>451</v>
      </c>
      <c r="H17" s="281" t="s">
        <v>452</v>
      </c>
      <c r="I17" s="258" t="s">
        <v>168</v>
      </c>
      <c r="J17" s="258" t="s">
        <v>169</v>
      </c>
      <c r="K17" s="258" t="s">
        <v>154</v>
      </c>
      <c r="L17" s="259">
        <v>42486</v>
      </c>
      <c r="M17" s="259" t="s">
        <v>239</v>
      </c>
      <c r="N17" s="260">
        <v>1</v>
      </c>
      <c r="O17" s="258" t="s">
        <v>139</v>
      </c>
    </row>
    <row r="18" spans="2:15" ht="38.25">
      <c r="B18" s="146">
        <v>8679</v>
      </c>
      <c r="C18" s="262" t="s">
        <v>431</v>
      </c>
      <c r="D18" s="147" t="s">
        <v>463</v>
      </c>
      <c r="E18" s="274" t="s">
        <v>484</v>
      </c>
      <c r="F18" s="252" t="s">
        <v>167</v>
      </c>
      <c r="G18" s="266" t="s">
        <v>451</v>
      </c>
      <c r="H18" s="281" t="s">
        <v>452</v>
      </c>
      <c r="I18" s="258" t="s">
        <v>168</v>
      </c>
      <c r="J18" s="258" t="s">
        <v>169</v>
      </c>
      <c r="K18" s="258" t="s">
        <v>154</v>
      </c>
      <c r="L18" s="259">
        <v>42486</v>
      </c>
      <c r="M18" s="259" t="s">
        <v>239</v>
      </c>
      <c r="N18" s="283">
        <v>0.5</v>
      </c>
      <c r="O18" s="258" t="s">
        <v>139</v>
      </c>
    </row>
    <row r="19" spans="2:15" ht="76.5">
      <c r="B19" s="146">
        <v>8679</v>
      </c>
      <c r="C19" s="262" t="s">
        <v>431</v>
      </c>
      <c r="D19" s="147" t="s">
        <v>464</v>
      </c>
      <c r="E19" s="274" t="s">
        <v>485</v>
      </c>
      <c r="F19" s="252" t="s">
        <v>167</v>
      </c>
      <c r="G19" s="266" t="s">
        <v>451</v>
      </c>
      <c r="H19" s="281" t="s">
        <v>452</v>
      </c>
      <c r="I19" s="258" t="s">
        <v>168</v>
      </c>
      <c r="J19" s="258" t="s">
        <v>169</v>
      </c>
      <c r="K19" s="258" t="s">
        <v>154</v>
      </c>
      <c r="L19" s="259">
        <v>42486</v>
      </c>
      <c r="M19" s="259" t="s">
        <v>239</v>
      </c>
      <c r="N19" s="260">
        <v>1</v>
      </c>
      <c r="O19" s="258" t="s">
        <v>139</v>
      </c>
    </row>
    <row r="20" spans="2:15" ht="38.25">
      <c r="B20" s="146">
        <v>8679</v>
      </c>
      <c r="C20" s="262" t="s">
        <v>431</v>
      </c>
      <c r="D20" s="147" t="s">
        <v>465</v>
      </c>
      <c r="E20" s="274" t="s">
        <v>486</v>
      </c>
      <c r="F20" s="252" t="s">
        <v>167</v>
      </c>
      <c r="G20" s="266" t="s">
        <v>451</v>
      </c>
      <c r="H20" s="281" t="s">
        <v>452</v>
      </c>
      <c r="I20" s="258" t="s">
        <v>168</v>
      </c>
      <c r="J20" s="258" t="s">
        <v>169</v>
      </c>
      <c r="K20" s="258" t="s">
        <v>154</v>
      </c>
      <c r="L20" s="259">
        <v>42486</v>
      </c>
      <c r="M20" s="259" t="s">
        <v>239</v>
      </c>
      <c r="N20" s="283">
        <v>0.5</v>
      </c>
      <c r="O20" s="258" t="s">
        <v>139</v>
      </c>
    </row>
    <row r="21" spans="2:15" ht="89.25">
      <c r="B21" s="146">
        <v>8679</v>
      </c>
      <c r="C21" s="262" t="s">
        <v>431</v>
      </c>
      <c r="D21" s="147" t="s">
        <v>466</v>
      </c>
      <c r="E21" s="274" t="s">
        <v>487</v>
      </c>
      <c r="F21" s="252" t="s">
        <v>167</v>
      </c>
      <c r="G21" s="266" t="s">
        <v>451</v>
      </c>
      <c r="H21" s="281" t="s">
        <v>452</v>
      </c>
      <c r="I21" s="258" t="s">
        <v>168</v>
      </c>
      <c r="J21" s="258" t="s">
        <v>169</v>
      </c>
      <c r="K21" s="258" t="s">
        <v>154</v>
      </c>
      <c r="L21" s="259">
        <v>42486</v>
      </c>
      <c r="M21" s="259" t="s">
        <v>239</v>
      </c>
      <c r="N21" s="260">
        <v>4</v>
      </c>
      <c r="O21" s="258" t="s">
        <v>139</v>
      </c>
    </row>
    <row r="22" spans="2:15" ht="89.25">
      <c r="B22" s="146">
        <v>8679</v>
      </c>
      <c r="C22" s="262" t="s">
        <v>431</v>
      </c>
      <c r="D22" s="147" t="s">
        <v>467</v>
      </c>
      <c r="E22" s="274" t="s">
        <v>488</v>
      </c>
      <c r="F22" s="252" t="s">
        <v>167</v>
      </c>
      <c r="G22" s="266" t="s">
        <v>451</v>
      </c>
      <c r="H22" s="281" t="s">
        <v>452</v>
      </c>
      <c r="I22" s="258" t="s">
        <v>168</v>
      </c>
      <c r="J22" s="258" t="s">
        <v>169</v>
      </c>
      <c r="K22" s="258" t="s">
        <v>154</v>
      </c>
      <c r="L22" s="259">
        <v>42486</v>
      </c>
      <c r="M22" s="259" t="s">
        <v>239</v>
      </c>
      <c r="N22" s="283">
        <v>2</v>
      </c>
      <c r="O22" s="258" t="s">
        <v>139</v>
      </c>
    </row>
    <row r="23" spans="2:15" ht="25.5">
      <c r="B23" s="146">
        <v>8679</v>
      </c>
      <c r="C23" s="262" t="s">
        <v>431</v>
      </c>
      <c r="D23" s="147" t="s">
        <v>468</v>
      </c>
      <c r="E23" s="274" t="s">
        <v>453</v>
      </c>
      <c r="F23" s="252" t="s">
        <v>167</v>
      </c>
      <c r="G23" s="266" t="s">
        <v>451</v>
      </c>
      <c r="H23" s="281" t="s">
        <v>452</v>
      </c>
      <c r="I23" s="258" t="s">
        <v>168</v>
      </c>
      <c r="J23" s="258" t="s">
        <v>169</v>
      </c>
      <c r="K23" s="258" t="s">
        <v>154</v>
      </c>
      <c r="L23" s="259">
        <v>42486</v>
      </c>
      <c r="M23" s="259" t="s">
        <v>239</v>
      </c>
      <c r="N23" s="283">
        <v>1</v>
      </c>
      <c r="O23" s="258" t="s">
        <v>139</v>
      </c>
    </row>
    <row r="24" spans="2:15" ht="76.5">
      <c r="B24" s="146">
        <v>8679</v>
      </c>
      <c r="C24" s="262" t="s">
        <v>431</v>
      </c>
      <c r="D24" s="147" t="s">
        <v>469</v>
      </c>
      <c r="E24" s="274" t="s">
        <v>489</v>
      </c>
      <c r="F24" s="252" t="s">
        <v>167</v>
      </c>
      <c r="G24" s="266" t="s">
        <v>451</v>
      </c>
      <c r="H24" s="281" t="s">
        <v>452</v>
      </c>
      <c r="I24" s="258" t="s">
        <v>168</v>
      </c>
      <c r="J24" s="258" t="s">
        <v>169</v>
      </c>
      <c r="K24" s="258" t="s">
        <v>154</v>
      </c>
      <c r="L24" s="259">
        <v>42486</v>
      </c>
      <c r="M24" s="259" t="s">
        <v>239</v>
      </c>
      <c r="N24" s="260">
        <v>1</v>
      </c>
      <c r="O24" s="258" t="s">
        <v>139</v>
      </c>
    </row>
    <row r="25" spans="2:15" ht="89.25">
      <c r="B25" s="146">
        <v>8679</v>
      </c>
      <c r="C25" s="262" t="s">
        <v>431</v>
      </c>
      <c r="D25" s="147" t="s">
        <v>470</v>
      </c>
      <c r="E25" s="274" t="s">
        <v>490</v>
      </c>
      <c r="F25" s="252" t="s">
        <v>167</v>
      </c>
      <c r="G25" s="266" t="s">
        <v>451</v>
      </c>
      <c r="H25" s="281" t="s">
        <v>452</v>
      </c>
      <c r="I25" s="258" t="s">
        <v>168</v>
      </c>
      <c r="J25" s="258" t="s">
        <v>169</v>
      </c>
      <c r="K25" s="258" t="s">
        <v>154</v>
      </c>
      <c r="L25" s="259"/>
      <c r="M25" s="259" t="s">
        <v>239</v>
      </c>
      <c r="N25" s="260">
        <v>2</v>
      </c>
      <c r="O25" s="258" t="s">
        <v>139</v>
      </c>
    </row>
    <row r="26" spans="2:15" ht="51">
      <c r="B26" s="146">
        <v>8679</v>
      </c>
      <c r="C26" s="262" t="s">
        <v>435</v>
      </c>
      <c r="D26" s="147" t="s">
        <v>471</v>
      </c>
      <c r="E26" s="274" t="s">
        <v>454</v>
      </c>
      <c r="F26" s="252" t="s">
        <v>167</v>
      </c>
      <c r="G26" s="266" t="s">
        <v>451</v>
      </c>
      <c r="H26" s="281" t="s">
        <v>452</v>
      </c>
      <c r="I26" s="258" t="s">
        <v>168</v>
      </c>
      <c r="J26" s="258" t="s">
        <v>169</v>
      </c>
      <c r="K26" s="258" t="s">
        <v>154</v>
      </c>
      <c r="L26" s="259">
        <v>42486</v>
      </c>
      <c r="M26" s="259" t="s">
        <v>239</v>
      </c>
      <c r="N26" s="260">
        <v>1</v>
      </c>
      <c r="O26" s="258" t="s">
        <v>139</v>
      </c>
    </row>
    <row r="27" spans="2:15" ht="38.25">
      <c r="B27" s="146">
        <v>8679</v>
      </c>
      <c r="C27" s="147" t="s">
        <v>435</v>
      </c>
      <c r="D27" s="147" t="s">
        <v>472</v>
      </c>
      <c r="E27" s="274" t="s">
        <v>491</v>
      </c>
      <c r="F27" s="252" t="s">
        <v>167</v>
      </c>
      <c r="G27" s="266" t="s">
        <v>451</v>
      </c>
      <c r="H27" s="281" t="s">
        <v>452</v>
      </c>
      <c r="I27" s="258" t="s">
        <v>168</v>
      </c>
      <c r="J27" s="258" t="s">
        <v>169</v>
      </c>
      <c r="K27" s="258" t="s">
        <v>154</v>
      </c>
      <c r="L27" s="259">
        <v>42486</v>
      </c>
      <c r="M27" s="259" t="s">
        <v>239</v>
      </c>
      <c r="N27" s="260">
        <v>3</v>
      </c>
      <c r="O27" s="258" t="s">
        <v>139</v>
      </c>
    </row>
    <row r="28" spans="2:15" ht="63.75">
      <c r="B28" s="146">
        <v>8679</v>
      </c>
      <c r="C28" s="147" t="s">
        <v>435</v>
      </c>
      <c r="D28" s="147" t="s">
        <v>473</v>
      </c>
      <c r="E28" s="274" t="s">
        <v>492</v>
      </c>
      <c r="F28" s="252" t="s">
        <v>167</v>
      </c>
      <c r="G28" s="266" t="s">
        <v>451</v>
      </c>
      <c r="H28" s="281" t="s">
        <v>452</v>
      </c>
      <c r="I28" s="258" t="s">
        <v>168</v>
      </c>
      <c r="J28" s="258" t="s">
        <v>169</v>
      </c>
      <c r="K28" s="258" t="s">
        <v>154</v>
      </c>
      <c r="L28" s="259">
        <v>42486</v>
      </c>
      <c r="M28" s="259" t="s">
        <v>239</v>
      </c>
      <c r="N28" s="260">
        <v>1</v>
      </c>
      <c r="O28" s="258" t="s">
        <v>139</v>
      </c>
    </row>
    <row r="29" spans="2:15" ht="76.5">
      <c r="B29" s="146">
        <v>8679</v>
      </c>
      <c r="C29" s="147" t="s">
        <v>435</v>
      </c>
      <c r="D29" s="147" t="s">
        <v>474</v>
      </c>
      <c r="E29" s="274" t="s">
        <v>493</v>
      </c>
      <c r="F29" s="252" t="s">
        <v>167</v>
      </c>
      <c r="G29" s="266" t="s">
        <v>451</v>
      </c>
      <c r="H29" s="281" t="s">
        <v>452</v>
      </c>
      <c r="I29" s="258" t="s">
        <v>168</v>
      </c>
      <c r="J29" s="258" t="s">
        <v>169</v>
      </c>
      <c r="K29" s="258" t="s">
        <v>154</v>
      </c>
      <c r="L29" s="259">
        <v>42486</v>
      </c>
      <c r="M29" s="259" t="s">
        <v>239</v>
      </c>
      <c r="N29" s="260">
        <v>1</v>
      </c>
      <c r="O29" s="258" t="s">
        <v>139</v>
      </c>
    </row>
    <row r="30" spans="2:15" ht="25.5">
      <c r="B30" s="146">
        <v>8679</v>
      </c>
      <c r="C30" s="147" t="s">
        <v>436</v>
      </c>
      <c r="D30" s="147" t="s">
        <v>475</v>
      </c>
      <c r="E30" s="274" t="s">
        <v>455</v>
      </c>
      <c r="F30" s="252" t="s">
        <v>167</v>
      </c>
      <c r="G30" s="266" t="s">
        <v>451</v>
      </c>
      <c r="H30" s="281" t="s">
        <v>452</v>
      </c>
      <c r="I30" s="258" t="s">
        <v>168</v>
      </c>
      <c r="J30" s="260" t="s">
        <v>270</v>
      </c>
      <c r="K30" s="258" t="s">
        <v>154</v>
      </c>
      <c r="L30" s="259">
        <v>42486</v>
      </c>
      <c r="M30" s="259" t="s">
        <v>239</v>
      </c>
      <c r="N30" s="283">
        <v>0.5</v>
      </c>
      <c r="O30" s="258" t="s">
        <v>139</v>
      </c>
    </row>
    <row r="31" spans="2:15" ht="76.5">
      <c r="B31" s="146">
        <v>8679</v>
      </c>
      <c r="C31" s="147" t="s">
        <v>436</v>
      </c>
      <c r="D31" s="147" t="s">
        <v>476</v>
      </c>
      <c r="E31" s="274" t="s">
        <v>494</v>
      </c>
      <c r="F31" s="252" t="s">
        <v>167</v>
      </c>
      <c r="G31" s="266" t="s">
        <v>451</v>
      </c>
      <c r="H31" s="281" t="s">
        <v>452</v>
      </c>
      <c r="I31" s="258" t="s">
        <v>280</v>
      </c>
      <c r="J31" s="260" t="s">
        <v>270</v>
      </c>
      <c r="K31" s="258" t="s">
        <v>154</v>
      </c>
      <c r="L31" s="259">
        <v>42486</v>
      </c>
      <c r="M31" s="259" t="s">
        <v>239</v>
      </c>
      <c r="N31" s="283">
        <v>4</v>
      </c>
      <c r="O31" s="258" t="s">
        <v>139</v>
      </c>
    </row>
    <row r="32" spans="2:15">
      <c r="B32" s="146"/>
      <c r="C32" s="147"/>
      <c r="D32" s="147"/>
      <c r="E32" s="275"/>
      <c r="F32" s="148"/>
      <c r="G32" s="258"/>
      <c r="H32" s="282"/>
      <c r="I32" s="260"/>
      <c r="J32" s="260"/>
      <c r="K32" s="260"/>
      <c r="L32" s="150"/>
      <c r="M32" s="150"/>
      <c r="N32" s="260"/>
      <c r="O32" s="260"/>
    </row>
    <row r="33" spans="2:15">
      <c r="B33" s="146"/>
      <c r="C33" s="147"/>
      <c r="D33" s="147"/>
      <c r="E33" s="275"/>
      <c r="F33" s="148"/>
      <c r="G33" s="258"/>
      <c r="H33" s="282"/>
      <c r="I33" s="260"/>
      <c r="J33" s="260"/>
      <c r="K33" s="260"/>
      <c r="L33" s="150"/>
      <c r="M33" s="150"/>
      <c r="N33" s="260"/>
      <c r="O33" s="260"/>
    </row>
    <row r="34" spans="2:15">
      <c r="B34" s="146"/>
      <c r="C34" s="147"/>
      <c r="D34" s="147"/>
      <c r="E34" s="275"/>
      <c r="F34" s="148"/>
      <c r="G34" s="258"/>
      <c r="H34" s="282"/>
      <c r="I34" s="260"/>
      <c r="J34" s="260"/>
      <c r="K34" s="260"/>
      <c r="L34" s="150"/>
      <c r="M34" s="150"/>
      <c r="N34" s="260"/>
      <c r="O34" s="260"/>
    </row>
    <row r="35" spans="2:15">
      <c r="B35" s="146"/>
      <c r="C35" s="147"/>
      <c r="D35" s="147"/>
      <c r="E35" s="275"/>
      <c r="F35" s="148"/>
      <c r="G35" s="258"/>
      <c r="H35" s="282"/>
      <c r="I35" s="260"/>
      <c r="J35" s="260"/>
      <c r="K35" s="260"/>
      <c r="L35" s="150"/>
      <c r="M35" s="150"/>
      <c r="N35" s="260"/>
      <c r="O35" s="260"/>
    </row>
    <row r="36" spans="2:15">
      <c r="B36" s="146"/>
      <c r="C36" s="147"/>
      <c r="D36" s="147"/>
      <c r="E36" s="275"/>
      <c r="F36" s="148"/>
      <c r="G36" s="258"/>
      <c r="H36" s="282"/>
      <c r="I36" s="260"/>
      <c r="J36" s="260"/>
      <c r="K36" s="260"/>
      <c r="L36" s="150"/>
      <c r="M36" s="150"/>
      <c r="N36" s="260"/>
      <c r="O36" s="260"/>
    </row>
    <row r="37" spans="2:15">
      <c r="B37" s="146"/>
      <c r="C37" s="147"/>
      <c r="D37" s="147"/>
      <c r="E37" s="275"/>
      <c r="F37" s="148"/>
      <c r="G37" s="258"/>
      <c r="H37" s="282"/>
      <c r="I37" s="260"/>
      <c r="J37" s="260"/>
      <c r="K37" s="260"/>
      <c r="L37" s="150"/>
      <c r="M37" s="150"/>
      <c r="N37" s="260"/>
      <c r="O37" s="260"/>
    </row>
    <row r="38" spans="2:15">
      <c r="B38" s="146"/>
      <c r="C38" s="147"/>
      <c r="D38" s="147"/>
      <c r="E38" s="275"/>
      <c r="F38" s="148"/>
      <c r="G38" s="258"/>
      <c r="H38" s="282"/>
      <c r="I38" s="260"/>
      <c r="J38" s="260"/>
      <c r="K38" s="260"/>
      <c r="L38" s="150"/>
      <c r="M38" s="150"/>
      <c r="N38" s="260"/>
      <c r="O38" s="260"/>
    </row>
    <row r="39" spans="2:15">
      <c r="B39" s="146"/>
      <c r="C39" s="147"/>
      <c r="D39" s="147"/>
      <c r="E39" s="275"/>
      <c r="F39" s="148"/>
      <c r="G39" s="258"/>
      <c r="H39" s="282"/>
      <c r="I39" s="260"/>
      <c r="J39" s="260"/>
      <c r="K39" s="260"/>
      <c r="L39" s="150"/>
      <c r="M39" s="150"/>
      <c r="N39" s="260"/>
      <c r="O39" s="260"/>
    </row>
    <row r="40" spans="2:15">
      <c r="B40" s="146"/>
      <c r="C40" s="147"/>
      <c r="D40" s="147"/>
      <c r="E40" s="275"/>
      <c r="F40" s="148"/>
      <c r="G40" s="258"/>
      <c r="H40" s="282"/>
      <c r="I40" s="260"/>
      <c r="J40" s="260"/>
      <c r="K40" s="260"/>
      <c r="L40" s="150"/>
      <c r="M40" s="150"/>
      <c r="N40" s="260"/>
      <c r="O40" s="260"/>
    </row>
    <row r="41" spans="2:15">
      <c r="B41" s="146"/>
      <c r="C41" s="147"/>
      <c r="D41" s="147"/>
      <c r="E41" s="275"/>
      <c r="F41" s="148"/>
      <c r="G41" s="258"/>
      <c r="H41" s="282"/>
      <c r="I41" s="260"/>
      <c r="J41" s="260"/>
      <c r="K41" s="260"/>
      <c r="L41" s="150"/>
      <c r="M41" s="150"/>
      <c r="N41" s="260"/>
      <c r="O41" s="260"/>
    </row>
    <row r="42" spans="2:15">
      <c r="B42" s="146"/>
      <c r="C42" s="147"/>
      <c r="D42" s="147"/>
      <c r="E42" s="275"/>
      <c r="F42" s="148"/>
      <c r="G42" s="258"/>
      <c r="H42" s="282"/>
      <c r="I42" s="260"/>
      <c r="J42" s="260"/>
      <c r="K42" s="260"/>
      <c r="L42" s="150"/>
      <c r="M42" s="150"/>
      <c r="N42" s="260"/>
      <c r="O42" s="260"/>
    </row>
    <row r="43" spans="2:15">
      <c r="B43" s="146"/>
      <c r="C43" s="147"/>
      <c r="D43" s="147"/>
      <c r="E43" s="275"/>
      <c r="F43" s="148"/>
      <c r="G43" s="258"/>
      <c r="H43" s="282"/>
      <c r="I43" s="260"/>
      <c r="J43" s="260"/>
      <c r="K43" s="260"/>
      <c r="L43" s="150"/>
      <c r="M43" s="150"/>
      <c r="N43" s="260"/>
      <c r="O43" s="260"/>
    </row>
    <row r="44" spans="2:15">
      <c r="B44" s="146"/>
      <c r="C44" s="147"/>
      <c r="D44" s="147"/>
      <c r="E44" s="275"/>
      <c r="F44" s="148"/>
      <c r="G44" s="258"/>
      <c r="H44" s="282"/>
      <c r="I44" s="260"/>
      <c r="J44" s="260"/>
      <c r="K44" s="260"/>
      <c r="L44" s="150"/>
      <c r="M44" s="150"/>
      <c r="N44" s="260"/>
      <c r="O44" s="260"/>
    </row>
    <row r="45" spans="2:15">
      <c r="B45" s="146"/>
      <c r="C45" s="147"/>
      <c r="D45" s="147"/>
      <c r="E45" s="275"/>
      <c r="F45" s="148"/>
      <c r="G45" s="258"/>
      <c r="H45" s="282"/>
      <c r="I45" s="260"/>
      <c r="J45" s="260"/>
      <c r="K45" s="260"/>
      <c r="L45" s="150"/>
      <c r="M45" s="150"/>
      <c r="N45" s="260"/>
      <c r="O45" s="260"/>
    </row>
    <row r="46" spans="2:15">
      <c r="B46" s="146"/>
      <c r="C46" s="147"/>
      <c r="D46" s="147"/>
      <c r="E46" s="275"/>
      <c r="F46" s="148"/>
      <c r="G46" s="258"/>
      <c r="H46" s="282"/>
      <c r="I46" s="260"/>
      <c r="J46" s="260"/>
      <c r="K46" s="260"/>
      <c r="L46" s="150"/>
      <c r="M46" s="150"/>
      <c r="N46" s="260"/>
      <c r="O46" s="260"/>
    </row>
    <row r="47" spans="2:15">
      <c r="B47" s="146"/>
      <c r="C47" s="147"/>
      <c r="D47" s="147"/>
      <c r="E47" s="275"/>
      <c r="F47" s="148"/>
      <c r="G47" s="258"/>
      <c r="H47" s="282"/>
      <c r="I47" s="260"/>
      <c r="J47" s="260"/>
      <c r="K47" s="260"/>
      <c r="L47" s="150"/>
      <c r="M47" s="150"/>
      <c r="N47" s="260"/>
      <c r="O47" s="260"/>
    </row>
    <row r="48" spans="2:15">
      <c r="B48" s="146"/>
      <c r="C48" s="147"/>
      <c r="D48" s="147"/>
      <c r="E48" s="275"/>
      <c r="F48" s="148"/>
      <c r="G48" s="258"/>
      <c r="H48" s="282"/>
      <c r="I48" s="260"/>
      <c r="J48" s="260"/>
      <c r="K48" s="260"/>
      <c r="L48" s="150"/>
      <c r="M48" s="150"/>
      <c r="N48" s="260"/>
      <c r="O48" s="260"/>
    </row>
    <row r="49" spans="2:15">
      <c r="B49" s="146"/>
      <c r="C49" s="147"/>
      <c r="D49" s="147"/>
      <c r="E49" s="275"/>
      <c r="F49" s="148"/>
      <c r="G49" s="258"/>
      <c r="H49" s="282"/>
      <c r="I49" s="260"/>
      <c r="J49" s="260"/>
      <c r="K49" s="260"/>
      <c r="L49" s="150"/>
      <c r="M49" s="150"/>
      <c r="N49" s="260"/>
      <c r="O49" s="260"/>
    </row>
    <row r="50" spans="2:15">
      <c r="B50" s="146"/>
      <c r="C50" s="147"/>
      <c r="D50" s="147"/>
      <c r="E50" s="275"/>
      <c r="F50" s="148"/>
      <c r="G50" s="258"/>
      <c r="H50" s="282"/>
      <c r="I50" s="260"/>
      <c r="J50" s="260"/>
      <c r="K50" s="260"/>
      <c r="L50" s="150"/>
      <c r="M50" s="150"/>
      <c r="N50" s="260"/>
      <c r="O50" s="260"/>
    </row>
    <row r="51" spans="2:15">
      <c r="B51" s="146"/>
      <c r="C51" s="147"/>
      <c r="D51" s="147"/>
      <c r="E51" s="275"/>
      <c r="F51" s="148"/>
      <c r="G51" s="258"/>
      <c r="H51" s="282"/>
      <c r="I51" s="260"/>
      <c r="J51" s="260"/>
      <c r="K51" s="260"/>
      <c r="L51" s="150"/>
      <c r="M51" s="150"/>
      <c r="N51" s="260"/>
      <c r="O51" s="260"/>
    </row>
    <row r="52" spans="2:15">
      <c r="B52" s="146"/>
      <c r="C52" s="147"/>
      <c r="D52" s="147"/>
      <c r="E52" s="275"/>
      <c r="F52" s="148"/>
      <c r="G52" s="258"/>
      <c r="H52" s="282"/>
      <c r="I52" s="260"/>
      <c r="J52" s="260"/>
      <c r="K52" s="260"/>
      <c r="L52" s="150"/>
      <c r="M52" s="150"/>
      <c r="N52" s="260"/>
      <c r="O52" s="260"/>
    </row>
    <row r="53" spans="2:15">
      <c r="B53" s="146"/>
      <c r="C53" s="147"/>
      <c r="D53" s="147"/>
      <c r="E53" s="275"/>
      <c r="F53" s="148"/>
      <c r="G53" s="258"/>
      <c r="H53" s="282"/>
      <c r="I53" s="260"/>
      <c r="J53" s="260"/>
      <c r="K53" s="260"/>
      <c r="L53" s="150"/>
      <c r="M53" s="150"/>
      <c r="N53" s="260"/>
      <c r="O53" s="260"/>
    </row>
    <row r="54" spans="2:15">
      <c r="B54" s="146"/>
      <c r="C54" s="147"/>
      <c r="D54" s="147"/>
      <c r="E54" s="275"/>
      <c r="F54" s="148"/>
      <c r="G54" s="258"/>
      <c r="H54" s="282"/>
      <c r="I54" s="260"/>
      <c r="J54" s="260"/>
      <c r="K54" s="260"/>
      <c r="L54" s="150"/>
      <c r="M54" s="150"/>
      <c r="N54" s="260"/>
      <c r="O54" s="260"/>
    </row>
    <row r="55" spans="2:15">
      <c r="B55" s="146"/>
      <c r="C55" s="147"/>
      <c r="D55" s="147"/>
      <c r="E55" s="275"/>
      <c r="F55" s="148"/>
      <c r="G55" s="258"/>
      <c r="H55" s="282"/>
      <c r="I55" s="260"/>
      <c r="J55" s="260"/>
      <c r="K55" s="260"/>
      <c r="L55" s="150"/>
      <c r="M55" s="150"/>
      <c r="N55" s="260"/>
      <c r="O55" s="260"/>
    </row>
    <row r="56" spans="2:15">
      <c r="B56" s="146"/>
      <c r="C56" s="147"/>
      <c r="D56" s="147"/>
      <c r="E56" s="275"/>
      <c r="F56" s="148"/>
      <c r="G56" s="258"/>
      <c r="H56" s="282"/>
      <c r="I56" s="260"/>
      <c r="J56" s="260"/>
      <c r="K56" s="260"/>
      <c r="L56" s="150"/>
      <c r="M56" s="150"/>
      <c r="N56" s="260"/>
      <c r="O56" s="260"/>
    </row>
    <row r="57" spans="2:15">
      <c r="B57" s="146"/>
      <c r="C57" s="147"/>
      <c r="D57" s="147"/>
      <c r="E57" s="275"/>
      <c r="F57" s="148"/>
      <c r="G57" s="258"/>
      <c r="H57" s="282"/>
      <c r="I57" s="260"/>
      <c r="J57" s="260"/>
      <c r="K57" s="260"/>
      <c r="L57" s="150"/>
      <c r="M57" s="150"/>
      <c r="N57" s="260"/>
      <c r="O57" s="260"/>
    </row>
    <row r="58" spans="2:15">
      <c r="B58" s="146"/>
      <c r="C58" s="147"/>
      <c r="D58" s="147"/>
      <c r="E58" s="275"/>
      <c r="F58" s="148"/>
      <c r="G58" s="258"/>
      <c r="H58" s="282"/>
      <c r="I58" s="260"/>
      <c r="J58" s="260"/>
      <c r="K58" s="260"/>
      <c r="L58" s="150"/>
      <c r="M58" s="150"/>
      <c r="N58" s="260"/>
      <c r="O58" s="260"/>
    </row>
    <row r="59" spans="2:15">
      <c r="B59" s="146"/>
      <c r="C59" s="147"/>
      <c r="D59" s="147"/>
      <c r="E59" s="275"/>
      <c r="F59" s="148"/>
      <c r="G59" s="258"/>
      <c r="H59" s="282"/>
      <c r="I59" s="260"/>
      <c r="J59" s="260"/>
      <c r="K59" s="260"/>
      <c r="L59" s="150"/>
      <c r="M59" s="150"/>
      <c r="N59" s="260"/>
      <c r="O59" s="260"/>
    </row>
    <row r="60" spans="2:15">
      <c r="B60" s="146"/>
      <c r="C60" s="147"/>
      <c r="D60" s="147"/>
      <c r="E60" s="275"/>
      <c r="F60" s="148"/>
      <c r="G60" s="258"/>
      <c r="H60" s="282"/>
      <c r="I60" s="260"/>
      <c r="J60" s="260"/>
      <c r="K60" s="260"/>
      <c r="L60" s="150"/>
      <c r="M60" s="150"/>
      <c r="N60" s="260"/>
      <c r="O60" s="260"/>
    </row>
    <row r="61" spans="2:15">
      <c r="B61" s="146"/>
      <c r="C61" s="147"/>
      <c r="D61" s="147"/>
      <c r="E61" s="275"/>
      <c r="F61" s="148"/>
      <c r="G61" s="258"/>
      <c r="H61" s="282"/>
      <c r="I61" s="260"/>
      <c r="J61" s="260"/>
      <c r="K61" s="260"/>
      <c r="L61" s="150"/>
      <c r="M61" s="150"/>
      <c r="N61" s="260"/>
      <c r="O61" s="260"/>
    </row>
    <row r="62" spans="2:15">
      <c r="B62" s="146"/>
      <c r="C62" s="147"/>
      <c r="D62" s="147"/>
      <c r="E62" s="275"/>
      <c r="F62" s="148"/>
      <c r="G62" s="258"/>
      <c r="H62" s="282"/>
      <c r="I62" s="260"/>
      <c r="J62" s="260"/>
      <c r="K62" s="260"/>
      <c r="L62" s="150"/>
      <c r="M62" s="150"/>
      <c r="N62" s="260"/>
      <c r="O62" s="260"/>
    </row>
    <row r="63" spans="2:15">
      <c r="B63" s="146"/>
      <c r="C63" s="147"/>
      <c r="D63" s="147"/>
      <c r="E63" s="275"/>
      <c r="F63" s="148"/>
      <c r="G63" s="258"/>
      <c r="H63" s="282"/>
      <c r="I63" s="260"/>
      <c r="J63" s="260"/>
      <c r="K63" s="260"/>
      <c r="L63" s="150"/>
      <c r="M63" s="150"/>
      <c r="N63" s="260"/>
      <c r="O63" s="260"/>
    </row>
    <row r="64" spans="2:15">
      <c r="B64" s="146"/>
      <c r="C64" s="147"/>
      <c r="D64" s="147"/>
      <c r="E64" s="275"/>
      <c r="F64" s="148"/>
      <c r="G64" s="258"/>
      <c r="H64" s="282"/>
      <c r="I64" s="260"/>
      <c r="J64" s="260"/>
      <c r="K64" s="260"/>
      <c r="L64" s="150"/>
      <c r="M64" s="150"/>
      <c r="N64" s="260"/>
      <c r="O64" s="260"/>
    </row>
    <row r="65" spans="2:15">
      <c r="B65" s="146"/>
      <c r="C65" s="147"/>
      <c r="D65" s="147"/>
      <c r="E65" s="275"/>
      <c r="F65" s="148"/>
      <c r="G65" s="258"/>
      <c r="H65" s="282"/>
      <c r="I65" s="260"/>
      <c r="J65" s="260"/>
      <c r="K65" s="260"/>
      <c r="L65" s="150"/>
      <c r="M65" s="150"/>
      <c r="N65" s="260"/>
      <c r="O65" s="260"/>
    </row>
    <row r="66" spans="2:15">
      <c r="B66" s="146"/>
      <c r="C66" s="147"/>
      <c r="D66" s="147"/>
      <c r="E66" s="275"/>
      <c r="F66" s="148"/>
      <c r="G66" s="258"/>
      <c r="H66" s="282"/>
      <c r="I66" s="260"/>
      <c r="J66" s="260"/>
      <c r="K66" s="260"/>
      <c r="L66" s="150"/>
      <c r="M66" s="150"/>
      <c r="N66" s="260"/>
      <c r="O66" s="260"/>
    </row>
    <row r="67" spans="2:15">
      <c r="B67" s="146"/>
      <c r="C67" s="147"/>
      <c r="D67" s="147"/>
      <c r="E67" s="275"/>
      <c r="F67" s="148"/>
      <c r="G67" s="258"/>
      <c r="H67" s="282"/>
      <c r="I67" s="260"/>
      <c r="J67" s="260"/>
      <c r="K67" s="260"/>
      <c r="L67" s="150"/>
      <c r="M67" s="150"/>
      <c r="N67" s="260"/>
      <c r="O67" s="260"/>
    </row>
    <row r="68" spans="2:15">
      <c r="B68" s="146"/>
      <c r="C68" s="147"/>
      <c r="D68" s="147"/>
      <c r="E68" s="275"/>
      <c r="F68" s="148"/>
      <c r="G68" s="258"/>
      <c r="H68" s="282"/>
      <c r="I68" s="260"/>
      <c r="J68" s="260"/>
      <c r="K68" s="260"/>
      <c r="L68" s="150"/>
      <c r="M68" s="150"/>
      <c r="N68" s="260"/>
      <c r="O68" s="260"/>
    </row>
    <row r="69" spans="2:15">
      <c r="B69" s="146"/>
      <c r="C69" s="147"/>
      <c r="D69" s="147"/>
      <c r="E69" s="275"/>
      <c r="F69" s="148"/>
      <c r="G69" s="258"/>
      <c r="H69" s="282"/>
      <c r="I69" s="260"/>
      <c r="J69" s="260"/>
      <c r="K69" s="260"/>
      <c r="L69" s="150"/>
      <c r="M69" s="150"/>
      <c r="N69" s="260"/>
      <c r="O69" s="260"/>
    </row>
    <row r="70" spans="2:15">
      <c r="B70" s="146"/>
      <c r="C70" s="147"/>
      <c r="D70" s="147"/>
      <c r="E70" s="275"/>
      <c r="F70" s="148"/>
      <c r="G70" s="258"/>
      <c r="H70" s="282"/>
      <c r="I70" s="260"/>
      <c r="J70" s="260"/>
      <c r="K70" s="260"/>
      <c r="L70" s="150"/>
      <c r="M70" s="150"/>
      <c r="N70" s="260"/>
      <c r="O70" s="260"/>
    </row>
    <row r="71" spans="2:15">
      <c r="B71" s="146"/>
      <c r="C71" s="147"/>
      <c r="D71" s="147"/>
      <c r="E71" s="275"/>
      <c r="F71" s="148"/>
      <c r="G71" s="258"/>
      <c r="H71" s="282"/>
      <c r="I71" s="260"/>
      <c r="J71" s="260"/>
      <c r="K71" s="260"/>
      <c r="L71" s="150"/>
      <c r="M71" s="150"/>
      <c r="N71" s="260"/>
      <c r="O71" s="260"/>
    </row>
    <row r="72" spans="2:15">
      <c r="B72" s="146"/>
      <c r="C72" s="147"/>
      <c r="D72" s="147"/>
      <c r="E72" s="275"/>
      <c r="F72" s="148"/>
      <c r="G72" s="258"/>
      <c r="H72" s="282"/>
      <c r="I72" s="260"/>
      <c r="J72" s="260"/>
      <c r="K72" s="260"/>
      <c r="L72" s="150"/>
      <c r="M72" s="150"/>
      <c r="N72" s="260"/>
      <c r="O72" s="260"/>
    </row>
    <row r="73" spans="2:15">
      <c r="B73" s="146"/>
      <c r="C73" s="147"/>
      <c r="D73" s="147"/>
      <c r="E73" s="275"/>
      <c r="F73" s="148"/>
      <c r="G73" s="258"/>
      <c r="H73" s="282"/>
      <c r="I73" s="260"/>
      <c r="J73" s="260"/>
      <c r="K73" s="260"/>
      <c r="L73" s="150"/>
      <c r="M73" s="150"/>
      <c r="N73" s="260"/>
      <c r="O73" s="260"/>
    </row>
    <row r="74" spans="2:15">
      <c r="B74" s="146"/>
      <c r="C74" s="147"/>
      <c r="D74" s="147"/>
      <c r="E74" s="275"/>
      <c r="F74" s="148"/>
      <c r="G74" s="258"/>
      <c r="H74" s="282"/>
      <c r="I74" s="260"/>
      <c r="J74" s="260"/>
      <c r="K74" s="260"/>
      <c r="L74" s="150"/>
      <c r="M74" s="150"/>
      <c r="N74" s="260"/>
      <c r="O74" s="260"/>
    </row>
    <row r="75" spans="2:15">
      <c r="B75" s="146"/>
      <c r="C75" s="147"/>
      <c r="D75" s="147"/>
      <c r="E75" s="275"/>
      <c r="F75" s="148"/>
      <c r="G75" s="258"/>
      <c r="H75" s="282"/>
      <c r="I75" s="260"/>
      <c r="J75" s="260"/>
      <c r="K75" s="260"/>
      <c r="L75" s="150"/>
      <c r="M75" s="150"/>
      <c r="N75" s="260"/>
      <c r="O75" s="260"/>
    </row>
    <row r="76" spans="2:15">
      <c r="B76" s="146"/>
      <c r="C76" s="147"/>
      <c r="D76" s="147"/>
      <c r="E76" s="275"/>
      <c r="F76" s="148"/>
      <c r="G76" s="258"/>
      <c r="H76" s="282"/>
      <c r="I76" s="260"/>
      <c r="J76" s="260"/>
      <c r="K76" s="260"/>
      <c r="L76" s="150"/>
      <c r="M76" s="150"/>
      <c r="N76" s="260"/>
      <c r="O76" s="260"/>
    </row>
    <row r="77" spans="2:15">
      <c r="B77" s="146"/>
      <c r="C77" s="147"/>
      <c r="D77" s="147"/>
      <c r="E77" s="275"/>
      <c r="F77" s="148"/>
      <c r="G77" s="258"/>
      <c r="H77" s="282"/>
      <c r="I77" s="260"/>
      <c r="J77" s="260"/>
      <c r="K77" s="260"/>
      <c r="L77" s="150"/>
      <c r="M77" s="150"/>
      <c r="N77" s="260"/>
      <c r="O77" s="260"/>
    </row>
    <row r="78" spans="2:15">
      <c r="B78" s="146"/>
      <c r="C78" s="147"/>
      <c r="D78" s="147"/>
      <c r="E78" s="275"/>
      <c r="F78" s="148"/>
      <c r="G78" s="258"/>
      <c r="H78" s="282"/>
      <c r="I78" s="260"/>
      <c r="J78" s="260"/>
      <c r="K78" s="260"/>
      <c r="L78" s="150"/>
      <c r="M78" s="150"/>
      <c r="N78" s="260"/>
      <c r="O78" s="260"/>
    </row>
    <row r="79" spans="2:15">
      <c r="B79" s="146"/>
      <c r="C79" s="147"/>
      <c r="D79" s="147"/>
      <c r="E79" s="275"/>
      <c r="F79" s="148"/>
      <c r="G79" s="258"/>
      <c r="H79" s="282"/>
      <c r="I79" s="260"/>
      <c r="J79" s="260"/>
      <c r="K79" s="260"/>
      <c r="L79" s="150"/>
      <c r="M79" s="150"/>
      <c r="N79" s="260"/>
      <c r="O79" s="260"/>
    </row>
    <row r="80" spans="2:15">
      <c r="B80" s="146"/>
      <c r="C80" s="147"/>
      <c r="D80" s="147"/>
      <c r="E80" s="275"/>
      <c r="F80" s="148"/>
      <c r="G80" s="258"/>
      <c r="H80" s="282"/>
      <c r="I80" s="260"/>
      <c r="J80" s="260"/>
      <c r="K80" s="260"/>
      <c r="L80" s="150"/>
      <c r="M80" s="150"/>
      <c r="N80" s="260"/>
      <c r="O80" s="260"/>
    </row>
    <row r="81" spans="2:15">
      <c r="B81" s="146"/>
      <c r="C81" s="147"/>
      <c r="D81" s="147"/>
      <c r="E81" s="275"/>
      <c r="F81" s="148"/>
      <c r="G81" s="258"/>
      <c r="H81" s="282"/>
      <c r="I81" s="260"/>
      <c r="J81" s="260"/>
      <c r="K81" s="260"/>
      <c r="L81" s="150"/>
      <c r="M81" s="150"/>
      <c r="N81" s="260"/>
      <c r="O81" s="260"/>
    </row>
    <row r="82" spans="2:15">
      <c r="B82" s="146"/>
      <c r="C82" s="147"/>
      <c r="D82" s="147"/>
      <c r="E82" s="275"/>
      <c r="F82" s="148"/>
      <c r="G82" s="258"/>
      <c r="H82" s="282"/>
      <c r="I82" s="260"/>
      <c r="J82" s="260"/>
      <c r="K82" s="260"/>
      <c r="L82" s="150"/>
      <c r="M82" s="150"/>
      <c r="N82" s="260"/>
      <c r="O82" s="260"/>
    </row>
    <row r="83" spans="2:15">
      <c r="B83" s="146"/>
      <c r="C83" s="147"/>
      <c r="D83" s="147"/>
      <c r="E83" s="275"/>
      <c r="F83" s="148"/>
      <c r="G83" s="258"/>
      <c r="H83" s="282"/>
      <c r="I83" s="260"/>
      <c r="J83" s="260"/>
      <c r="K83" s="260"/>
      <c r="L83" s="150"/>
      <c r="M83" s="150"/>
      <c r="N83" s="260"/>
      <c r="O83" s="260"/>
    </row>
    <row r="84" spans="2:15">
      <c r="B84" s="146"/>
      <c r="C84" s="147"/>
      <c r="D84" s="147"/>
      <c r="E84" s="275"/>
      <c r="F84" s="148"/>
      <c r="G84" s="258"/>
      <c r="H84" s="282"/>
      <c r="I84" s="260"/>
      <c r="J84" s="260"/>
      <c r="K84" s="260"/>
      <c r="L84" s="150"/>
      <c r="M84" s="150"/>
      <c r="N84" s="260"/>
      <c r="O84" s="260"/>
    </row>
    <row r="85" spans="2:15">
      <c r="B85" s="146"/>
      <c r="C85" s="147"/>
      <c r="D85" s="147"/>
      <c r="E85" s="275"/>
      <c r="F85" s="148"/>
      <c r="G85" s="258"/>
      <c r="H85" s="282"/>
      <c r="I85" s="260"/>
      <c r="J85" s="260"/>
      <c r="K85" s="260"/>
      <c r="L85" s="150"/>
      <c r="M85" s="150"/>
      <c r="N85" s="260"/>
      <c r="O85" s="260"/>
    </row>
    <row r="86" spans="2:15">
      <c r="B86" s="146"/>
      <c r="C86" s="147"/>
      <c r="D86" s="147"/>
      <c r="E86" s="275"/>
      <c r="F86" s="148"/>
      <c r="G86" s="258"/>
      <c r="H86" s="282"/>
      <c r="I86" s="260"/>
      <c r="J86" s="260"/>
      <c r="K86" s="260"/>
      <c r="L86" s="150"/>
      <c r="M86" s="150"/>
      <c r="N86" s="260"/>
      <c r="O86" s="260"/>
    </row>
    <row r="87" spans="2:15">
      <c r="B87" s="146"/>
      <c r="C87" s="147"/>
      <c r="D87" s="147"/>
      <c r="E87" s="275"/>
      <c r="F87" s="148"/>
      <c r="G87" s="258"/>
      <c r="H87" s="282"/>
      <c r="I87" s="260"/>
      <c r="J87" s="260"/>
      <c r="K87" s="260"/>
      <c r="L87" s="150"/>
      <c r="M87" s="150"/>
      <c r="N87" s="260"/>
      <c r="O87" s="260"/>
    </row>
    <row r="88" spans="2:15">
      <c r="B88" s="146"/>
      <c r="C88" s="147"/>
      <c r="D88" s="147"/>
      <c r="E88" s="275"/>
      <c r="F88" s="148"/>
      <c r="G88" s="258"/>
      <c r="H88" s="282"/>
      <c r="I88" s="260"/>
      <c r="J88" s="260"/>
      <c r="K88" s="260"/>
      <c r="L88" s="150"/>
      <c r="M88" s="150"/>
      <c r="N88" s="260"/>
      <c r="O88" s="260"/>
    </row>
    <row r="89" spans="2:15">
      <c r="B89" s="146"/>
      <c r="C89" s="147"/>
      <c r="D89" s="147"/>
      <c r="E89" s="275"/>
      <c r="F89" s="148"/>
      <c r="G89" s="258"/>
      <c r="H89" s="282"/>
      <c r="I89" s="260"/>
      <c r="J89" s="260"/>
      <c r="K89" s="260"/>
      <c r="L89" s="150"/>
      <c r="M89" s="150"/>
      <c r="N89" s="260"/>
      <c r="O89" s="260"/>
    </row>
    <row r="90" spans="2:15">
      <c r="B90" s="146"/>
      <c r="C90" s="147"/>
      <c r="D90" s="147"/>
      <c r="E90" s="275"/>
      <c r="F90" s="148"/>
      <c r="G90" s="258"/>
      <c r="H90" s="282"/>
      <c r="I90" s="260"/>
      <c r="J90" s="260"/>
      <c r="K90" s="260"/>
      <c r="L90" s="150"/>
      <c r="M90" s="150"/>
      <c r="N90" s="260"/>
      <c r="O90" s="260"/>
    </row>
    <row r="91" spans="2:15">
      <c r="B91" s="146"/>
      <c r="C91" s="147"/>
      <c r="D91" s="147"/>
      <c r="E91" s="275"/>
      <c r="F91" s="148"/>
      <c r="G91" s="258"/>
      <c r="H91" s="282"/>
      <c r="I91" s="260"/>
      <c r="J91" s="260"/>
      <c r="K91" s="260"/>
      <c r="L91" s="150"/>
      <c r="M91" s="150"/>
      <c r="N91" s="260"/>
      <c r="O91" s="260"/>
    </row>
    <row r="92" spans="2:15">
      <c r="B92" s="146"/>
      <c r="C92" s="147"/>
      <c r="D92" s="147"/>
      <c r="E92" s="275"/>
      <c r="F92" s="148"/>
      <c r="G92" s="258"/>
      <c r="H92" s="282"/>
      <c r="I92" s="260"/>
      <c r="J92" s="260"/>
      <c r="K92" s="260"/>
      <c r="L92" s="150"/>
      <c r="M92" s="150"/>
      <c r="N92" s="260"/>
      <c r="O92" s="260"/>
    </row>
    <row r="93" spans="2:15">
      <c r="B93" s="146"/>
      <c r="C93" s="147"/>
      <c r="D93" s="147"/>
      <c r="E93" s="275"/>
      <c r="F93" s="148"/>
      <c r="G93" s="258"/>
      <c r="H93" s="282"/>
      <c r="I93" s="260"/>
      <c r="J93" s="260"/>
      <c r="K93" s="260"/>
      <c r="L93" s="150"/>
      <c r="M93" s="150"/>
      <c r="N93" s="260"/>
      <c r="O93" s="260"/>
    </row>
    <row r="94" spans="2:15">
      <c r="B94" s="146"/>
      <c r="C94" s="147"/>
      <c r="D94" s="147"/>
      <c r="E94" s="275"/>
      <c r="F94" s="148"/>
      <c r="G94" s="258"/>
      <c r="H94" s="282"/>
      <c r="I94" s="260"/>
      <c r="J94" s="260"/>
      <c r="K94" s="260"/>
      <c r="L94" s="150"/>
      <c r="M94" s="150"/>
      <c r="N94" s="260"/>
      <c r="O94" s="260"/>
    </row>
    <row r="95" spans="2:15">
      <c r="B95" s="146"/>
      <c r="C95" s="147"/>
      <c r="D95" s="147"/>
      <c r="E95" s="275"/>
      <c r="F95" s="148"/>
      <c r="G95" s="258"/>
      <c r="H95" s="282"/>
      <c r="I95" s="260"/>
      <c r="J95" s="260"/>
      <c r="K95" s="260"/>
      <c r="L95" s="150"/>
      <c r="M95" s="150"/>
      <c r="N95" s="260"/>
      <c r="O95" s="260"/>
    </row>
    <row r="96" spans="2:15">
      <c r="B96" s="146"/>
      <c r="C96" s="147"/>
      <c r="D96" s="147"/>
      <c r="E96" s="275"/>
      <c r="F96" s="148"/>
      <c r="G96" s="258"/>
      <c r="H96" s="282"/>
      <c r="I96" s="260"/>
      <c r="J96" s="260"/>
      <c r="K96" s="260"/>
      <c r="L96" s="150"/>
      <c r="M96" s="150"/>
      <c r="N96" s="260"/>
      <c r="O96" s="260"/>
    </row>
    <row r="97" spans="2:15">
      <c r="B97" s="146"/>
      <c r="C97" s="147"/>
      <c r="D97" s="147"/>
      <c r="E97" s="275"/>
      <c r="F97" s="148"/>
      <c r="G97" s="258"/>
      <c r="H97" s="282"/>
      <c r="I97" s="260"/>
      <c r="J97" s="260"/>
      <c r="K97" s="260"/>
      <c r="L97" s="150"/>
      <c r="M97" s="150"/>
      <c r="N97" s="260"/>
      <c r="O97" s="260"/>
    </row>
    <row r="98" spans="2:15">
      <c r="B98" s="146"/>
      <c r="C98" s="147"/>
      <c r="D98" s="147"/>
      <c r="E98" s="275"/>
      <c r="F98" s="148"/>
      <c r="G98" s="258"/>
      <c r="H98" s="282"/>
      <c r="I98" s="260"/>
      <c r="J98" s="260"/>
      <c r="K98" s="260"/>
      <c r="L98" s="150"/>
      <c r="M98" s="150"/>
      <c r="N98" s="260"/>
      <c r="O98" s="260"/>
    </row>
    <row r="99" spans="2:15">
      <c r="B99" s="146"/>
      <c r="C99" s="147"/>
      <c r="D99" s="147"/>
      <c r="E99" s="275"/>
      <c r="F99" s="148"/>
      <c r="G99" s="258"/>
      <c r="H99" s="282"/>
      <c r="I99" s="260"/>
      <c r="J99" s="260"/>
      <c r="K99" s="260"/>
      <c r="L99" s="150"/>
      <c r="M99" s="150"/>
      <c r="N99" s="260"/>
      <c r="O99" s="260"/>
    </row>
    <row r="100" spans="2:15">
      <c r="B100" s="146"/>
      <c r="C100" s="147"/>
      <c r="D100" s="147"/>
      <c r="E100" s="275"/>
      <c r="F100" s="148"/>
      <c r="G100" s="258"/>
      <c r="H100" s="282"/>
      <c r="I100" s="260"/>
      <c r="J100" s="260"/>
      <c r="K100" s="260"/>
      <c r="L100" s="150"/>
      <c r="M100" s="150"/>
      <c r="N100" s="260"/>
      <c r="O100" s="260"/>
    </row>
    <row r="101" spans="2:15">
      <c r="B101" s="146"/>
      <c r="C101" s="147"/>
      <c r="D101" s="147"/>
      <c r="E101" s="275"/>
      <c r="F101" s="148"/>
      <c r="G101" s="258"/>
      <c r="H101" s="282"/>
      <c r="I101" s="260"/>
      <c r="J101" s="260"/>
      <c r="K101" s="260"/>
      <c r="L101" s="150"/>
      <c r="M101" s="150"/>
      <c r="N101" s="260"/>
      <c r="O101" s="260"/>
    </row>
    <row r="102" spans="2:15">
      <c r="B102" s="146"/>
      <c r="C102" s="147"/>
      <c r="D102" s="147"/>
      <c r="E102" s="275"/>
      <c r="F102" s="148"/>
      <c r="G102" s="258"/>
      <c r="H102" s="282"/>
      <c r="I102" s="260"/>
      <c r="J102" s="260"/>
      <c r="K102" s="260"/>
      <c r="L102" s="150"/>
      <c r="M102" s="150"/>
      <c r="N102" s="260"/>
      <c r="O102" s="260"/>
    </row>
    <row r="103" spans="2:15">
      <c r="B103" s="146"/>
      <c r="C103" s="147"/>
      <c r="D103" s="147"/>
      <c r="E103" s="275"/>
      <c r="F103" s="148"/>
      <c r="G103" s="258"/>
      <c r="H103" s="282"/>
      <c r="I103" s="260"/>
      <c r="J103" s="260"/>
      <c r="K103" s="260"/>
      <c r="L103" s="150"/>
      <c r="M103" s="150"/>
      <c r="N103" s="260"/>
      <c r="O103" s="260"/>
    </row>
    <row r="104" spans="2:15">
      <c r="B104" s="146"/>
      <c r="C104" s="147"/>
      <c r="D104" s="147"/>
      <c r="E104" s="275"/>
      <c r="F104" s="148"/>
      <c r="G104" s="258"/>
      <c r="H104" s="282"/>
      <c r="I104" s="260"/>
      <c r="J104" s="260"/>
      <c r="K104" s="260"/>
      <c r="L104" s="150"/>
      <c r="M104" s="150"/>
      <c r="N104" s="260"/>
      <c r="O104" s="260"/>
    </row>
    <row r="105" spans="2:15">
      <c r="B105" s="146"/>
      <c r="C105" s="147"/>
      <c r="D105" s="147"/>
      <c r="E105" s="275"/>
      <c r="F105" s="148"/>
      <c r="G105" s="258"/>
      <c r="H105" s="282"/>
      <c r="I105" s="260"/>
      <c r="J105" s="260"/>
      <c r="K105" s="260"/>
      <c r="L105" s="150"/>
      <c r="M105" s="150"/>
      <c r="N105" s="260"/>
      <c r="O105" s="260"/>
    </row>
    <row r="106" spans="2:15">
      <c r="B106" s="146"/>
      <c r="C106" s="147"/>
      <c r="D106" s="147"/>
      <c r="E106" s="275"/>
      <c r="F106" s="148"/>
      <c r="G106" s="258"/>
      <c r="H106" s="282"/>
      <c r="I106" s="260"/>
      <c r="J106" s="260"/>
      <c r="K106" s="260"/>
      <c r="L106" s="150"/>
      <c r="M106" s="150"/>
      <c r="N106" s="260"/>
      <c r="O106" s="260"/>
    </row>
    <row r="107" spans="2:15">
      <c r="B107" s="146"/>
      <c r="C107" s="147"/>
      <c r="D107" s="147"/>
      <c r="E107" s="275"/>
      <c r="F107" s="148"/>
      <c r="G107" s="258"/>
      <c r="H107" s="282"/>
      <c r="I107" s="260"/>
      <c r="J107" s="260"/>
      <c r="K107" s="260"/>
      <c r="L107" s="150"/>
      <c r="M107" s="150"/>
      <c r="N107" s="260"/>
      <c r="O107" s="260"/>
    </row>
    <row r="108" spans="2:15">
      <c r="B108" s="146"/>
      <c r="C108" s="147"/>
      <c r="D108" s="147"/>
      <c r="E108" s="275"/>
      <c r="F108" s="148"/>
      <c r="G108" s="258"/>
      <c r="H108" s="282"/>
      <c r="I108" s="260"/>
      <c r="J108" s="260"/>
      <c r="K108" s="260"/>
      <c r="L108" s="150"/>
      <c r="M108" s="150"/>
      <c r="N108" s="260"/>
      <c r="O108" s="260"/>
    </row>
    <row r="109" spans="2:15">
      <c r="B109" s="146"/>
      <c r="C109" s="147"/>
      <c r="D109" s="147"/>
      <c r="E109" s="275"/>
      <c r="F109" s="148"/>
      <c r="G109" s="258"/>
      <c r="H109" s="282"/>
      <c r="I109" s="260"/>
      <c r="J109" s="260"/>
      <c r="K109" s="260"/>
      <c r="L109" s="150"/>
      <c r="M109" s="150"/>
      <c r="N109" s="260"/>
      <c r="O109" s="260"/>
    </row>
    <row r="110" spans="2:15">
      <c r="B110" s="146"/>
      <c r="C110" s="147"/>
      <c r="D110" s="147"/>
      <c r="E110" s="275"/>
      <c r="F110" s="148"/>
      <c r="G110" s="258"/>
      <c r="H110" s="282"/>
      <c r="I110" s="260"/>
      <c r="J110" s="260"/>
      <c r="K110" s="260"/>
      <c r="L110" s="150"/>
      <c r="M110" s="150"/>
      <c r="N110" s="260"/>
      <c r="O110" s="260"/>
    </row>
    <row r="111" spans="2:15">
      <c r="B111" s="146"/>
      <c r="C111" s="147"/>
      <c r="D111" s="147"/>
      <c r="E111" s="275"/>
      <c r="F111" s="148"/>
      <c r="G111" s="258"/>
      <c r="H111" s="282"/>
      <c r="I111" s="260"/>
      <c r="J111" s="260"/>
      <c r="K111" s="260"/>
      <c r="L111" s="150"/>
      <c r="M111" s="150"/>
      <c r="N111" s="260"/>
      <c r="O111" s="260"/>
    </row>
    <row r="112" spans="2:15">
      <c r="B112" s="146"/>
      <c r="C112" s="147"/>
      <c r="D112" s="147"/>
      <c r="E112" s="275"/>
      <c r="F112" s="148"/>
      <c r="G112" s="258"/>
      <c r="H112" s="282"/>
      <c r="I112" s="260"/>
      <c r="J112" s="260"/>
      <c r="K112" s="260"/>
      <c r="L112" s="150"/>
      <c r="M112" s="150"/>
      <c r="N112" s="260"/>
      <c r="O112" s="260"/>
    </row>
    <row r="113" spans="2:15">
      <c r="B113" s="146"/>
      <c r="C113" s="147"/>
      <c r="D113" s="147"/>
      <c r="E113" s="275"/>
      <c r="F113" s="148"/>
      <c r="G113" s="258"/>
      <c r="H113" s="282"/>
      <c r="I113" s="260"/>
      <c r="J113" s="260"/>
      <c r="K113" s="260"/>
      <c r="L113" s="150"/>
      <c r="M113" s="150"/>
      <c r="N113" s="260"/>
      <c r="O113" s="260"/>
    </row>
    <row r="114" spans="2:15">
      <c r="B114" s="146"/>
      <c r="C114" s="147"/>
      <c r="D114" s="147"/>
      <c r="E114" s="275"/>
      <c r="F114" s="148"/>
      <c r="G114" s="258"/>
      <c r="H114" s="282"/>
      <c r="I114" s="260"/>
      <c r="J114" s="260"/>
      <c r="K114" s="260"/>
      <c r="L114" s="150"/>
      <c r="M114" s="150"/>
      <c r="N114" s="260"/>
      <c r="O114" s="260"/>
    </row>
    <row r="115" spans="2:15">
      <c r="B115" s="146"/>
      <c r="C115" s="147"/>
      <c r="D115" s="147"/>
      <c r="E115" s="275"/>
      <c r="F115" s="148"/>
      <c r="G115" s="258"/>
      <c r="H115" s="282"/>
      <c r="I115" s="260"/>
      <c r="J115" s="260"/>
      <c r="K115" s="260"/>
      <c r="L115" s="150"/>
      <c r="M115" s="150"/>
      <c r="N115" s="260"/>
      <c r="O115" s="260"/>
    </row>
    <row r="116" spans="2:15">
      <c r="B116" s="146"/>
      <c r="C116" s="147"/>
      <c r="D116" s="147"/>
      <c r="E116" s="275"/>
      <c r="F116" s="148"/>
      <c r="G116" s="258"/>
      <c r="H116" s="282"/>
      <c r="I116" s="260"/>
      <c r="J116" s="260"/>
      <c r="K116" s="260"/>
      <c r="L116" s="150"/>
      <c r="M116" s="150"/>
      <c r="N116" s="260"/>
      <c r="O116" s="260"/>
    </row>
    <row r="117" spans="2:15">
      <c r="B117" s="146"/>
      <c r="C117" s="147"/>
      <c r="D117" s="147"/>
      <c r="E117" s="275"/>
      <c r="F117" s="148"/>
      <c r="G117" s="258"/>
      <c r="H117" s="282"/>
      <c r="I117" s="260"/>
      <c r="J117" s="260"/>
      <c r="K117" s="260"/>
      <c r="L117" s="150"/>
      <c r="M117" s="150"/>
      <c r="N117" s="260"/>
      <c r="O117" s="260"/>
    </row>
    <row r="118" spans="2:15">
      <c r="B118" s="146"/>
      <c r="C118" s="147"/>
      <c r="D118" s="147"/>
      <c r="E118" s="275"/>
      <c r="F118" s="148"/>
      <c r="G118" s="258"/>
      <c r="H118" s="282"/>
      <c r="I118" s="260"/>
      <c r="J118" s="260"/>
      <c r="K118" s="260"/>
      <c r="L118" s="150"/>
      <c r="M118" s="150"/>
      <c r="N118" s="260"/>
      <c r="O118" s="260"/>
    </row>
    <row r="119" spans="2:15">
      <c r="B119" s="146"/>
      <c r="C119" s="147"/>
      <c r="D119" s="147"/>
      <c r="E119" s="275"/>
      <c r="F119" s="148"/>
      <c r="G119" s="258"/>
      <c r="H119" s="282"/>
      <c r="I119" s="260"/>
      <c r="J119" s="260"/>
      <c r="K119" s="260"/>
      <c r="L119" s="150"/>
      <c r="M119" s="150"/>
      <c r="N119" s="260"/>
      <c r="O119" s="260"/>
    </row>
    <row r="120" spans="2:15">
      <c r="B120" s="146"/>
      <c r="C120" s="147"/>
      <c r="D120" s="147"/>
      <c r="E120" s="275"/>
      <c r="F120" s="148"/>
      <c r="G120" s="258"/>
      <c r="H120" s="282"/>
      <c r="I120" s="260"/>
      <c r="J120" s="260"/>
      <c r="K120" s="260"/>
      <c r="L120" s="150"/>
      <c r="M120" s="150"/>
      <c r="N120" s="260"/>
      <c r="O120" s="260"/>
    </row>
    <row r="121" spans="2:15">
      <c r="B121" s="146"/>
      <c r="C121" s="147"/>
      <c r="D121" s="147"/>
      <c r="E121" s="275"/>
      <c r="F121" s="148"/>
      <c r="G121" s="258"/>
      <c r="H121" s="282"/>
      <c r="I121" s="260"/>
      <c r="J121" s="260"/>
      <c r="K121" s="260"/>
      <c r="L121" s="150"/>
      <c r="M121" s="150"/>
      <c r="N121" s="260"/>
      <c r="O121" s="260"/>
    </row>
    <row r="122" spans="2:15">
      <c r="B122" s="146"/>
      <c r="C122" s="147"/>
      <c r="D122" s="147"/>
      <c r="E122" s="275"/>
      <c r="F122" s="148"/>
      <c r="G122" s="258"/>
      <c r="H122" s="282"/>
      <c r="I122" s="260"/>
      <c r="J122" s="260"/>
      <c r="K122" s="260"/>
      <c r="L122" s="150"/>
      <c r="M122" s="150"/>
      <c r="N122" s="260"/>
      <c r="O122" s="260"/>
    </row>
    <row r="123" spans="2:15">
      <c r="B123" s="146"/>
      <c r="C123" s="147"/>
      <c r="D123" s="147"/>
      <c r="E123" s="275"/>
      <c r="F123" s="148"/>
      <c r="G123" s="258"/>
      <c r="H123" s="282"/>
      <c r="I123" s="260"/>
      <c r="J123" s="260"/>
      <c r="K123" s="260"/>
      <c r="L123" s="150"/>
      <c r="M123" s="150"/>
      <c r="N123" s="260"/>
      <c r="O123" s="260"/>
    </row>
    <row r="124" spans="2:15">
      <c r="B124" s="146"/>
      <c r="C124" s="147"/>
      <c r="D124" s="147"/>
      <c r="E124" s="275"/>
      <c r="F124" s="148"/>
      <c r="G124" s="258"/>
      <c r="H124" s="282"/>
      <c r="I124" s="260"/>
      <c r="J124" s="260"/>
      <c r="K124" s="260"/>
      <c r="L124" s="150"/>
      <c r="M124" s="150"/>
      <c r="N124" s="260"/>
      <c r="O124" s="260"/>
    </row>
    <row r="125" spans="2:15">
      <c r="B125" s="146"/>
      <c r="C125" s="147"/>
      <c r="D125" s="147"/>
      <c r="E125" s="275"/>
      <c r="F125" s="148"/>
      <c r="G125" s="258"/>
      <c r="H125" s="282"/>
      <c r="I125" s="260"/>
      <c r="J125" s="260"/>
      <c r="K125" s="260"/>
      <c r="L125" s="150"/>
      <c r="M125" s="150"/>
      <c r="N125" s="260"/>
      <c r="O125" s="260"/>
    </row>
    <row r="126" spans="2:15">
      <c r="B126" s="146"/>
      <c r="C126" s="147"/>
      <c r="D126" s="147"/>
      <c r="E126" s="275"/>
      <c r="F126" s="148"/>
      <c r="G126" s="258"/>
      <c r="H126" s="282"/>
      <c r="I126" s="260"/>
      <c r="J126" s="260"/>
      <c r="K126" s="260"/>
      <c r="L126" s="150"/>
      <c r="M126" s="150"/>
      <c r="N126" s="260"/>
      <c r="O126" s="260"/>
    </row>
    <row r="127" spans="2:15">
      <c r="B127" s="146"/>
      <c r="C127" s="147"/>
      <c r="D127" s="147"/>
      <c r="E127" s="275"/>
      <c r="F127" s="148"/>
      <c r="G127" s="258"/>
      <c r="H127" s="282"/>
      <c r="I127" s="260"/>
      <c r="J127" s="260"/>
      <c r="K127" s="260"/>
      <c r="L127" s="150"/>
      <c r="M127" s="150"/>
      <c r="N127" s="260"/>
      <c r="O127" s="260"/>
    </row>
    <row r="128" spans="2:15">
      <c r="B128" s="146"/>
      <c r="C128" s="147"/>
      <c r="D128" s="147"/>
      <c r="E128" s="275"/>
      <c r="F128" s="148"/>
      <c r="G128" s="258"/>
      <c r="H128" s="282"/>
      <c r="I128" s="260"/>
      <c r="J128" s="260"/>
      <c r="K128" s="260"/>
      <c r="L128" s="150"/>
      <c r="M128" s="150"/>
      <c r="N128" s="260"/>
      <c r="O128" s="260"/>
    </row>
    <row r="129" spans="2:15">
      <c r="B129" s="146"/>
      <c r="C129" s="147"/>
      <c r="D129" s="147"/>
      <c r="E129" s="275"/>
      <c r="F129" s="148"/>
      <c r="G129" s="258"/>
      <c r="H129" s="282"/>
      <c r="I129" s="260"/>
      <c r="J129" s="260"/>
      <c r="K129" s="260"/>
      <c r="L129" s="150"/>
      <c r="M129" s="150"/>
      <c r="N129" s="260"/>
      <c r="O129" s="260"/>
    </row>
    <row r="130" spans="2:15">
      <c r="B130" s="146"/>
      <c r="C130" s="147"/>
      <c r="D130" s="147"/>
      <c r="E130" s="275"/>
      <c r="F130" s="148"/>
      <c r="G130" s="258"/>
      <c r="H130" s="282"/>
      <c r="I130" s="260"/>
      <c r="J130" s="260"/>
      <c r="K130" s="260"/>
      <c r="L130" s="150"/>
      <c r="M130" s="150"/>
      <c r="N130" s="260"/>
      <c r="O130" s="260"/>
    </row>
    <row r="131" spans="2:15">
      <c r="B131" s="146"/>
      <c r="C131" s="147"/>
      <c r="D131" s="147"/>
      <c r="E131" s="275"/>
      <c r="F131" s="148"/>
      <c r="G131" s="258"/>
      <c r="H131" s="282"/>
      <c r="I131" s="260"/>
      <c r="J131" s="260"/>
      <c r="K131" s="260"/>
      <c r="L131" s="150"/>
      <c r="M131" s="150"/>
      <c r="N131" s="260"/>
      <c r="O131" s="260"/>
    </row>
    <row r="132" spans="2:15">
      <c r="B132" s="146"/>
      <c r="C132" s="147"/>
      <c r="D132" s="147"/>
      <c r="E132" s="275"/>
      <c r="F132" s="148"/>
      <c r="G132" s="258"/>
      <c r="H132" s="282"/>
      <c r="I132" s="260"/>
      <c r="J132" s="260"/>
      <c r="K132" s="260"/>
      <c r="L132" s="150"/>
      <c r="M132" s="150"/>
      <c r="N132" s="260"/>
      <c r="O132" s="260"/>
    </row>
    <row r="133" spans="2:15">
      <c r="B133" s="146"/>
      <c r="C133" s="147"/>
      <c r="D133" s="147"/>
      <c r="E133" s="275"/>
      <c r="F133" s="148"/>
      <c r="G133" s="258"/>
      <c r="H133" s="282"/>
      <c r="I133" s="260"/>
      <c r="J133" s="260"/>
      <c r="K133" s="260"/>
      <c r="L133" s="150"/>
      <c r="M133" s="150"/>
      <c r="N133" s="260"/>
      <c r="O133" s="260"/>
    </row>
    <row r="134" spans="2:15">
      <c r="B134" s="146"/>
      <c r="C134" s="147"/>
      <c r="D134" s="147"/>
      <c r="E134" s="275"/>
      <c r="F134" s="148"/>
      <c r="G134" s="258"/>
      <c r="H134" s="282"/>
      <c r="I134" s="260"/>
      <c r="J134" s="260"/>
      <c r="K134" s="260"/>
      <c r="L134" s="150"/>
      <c r="M134" s="150"/>
      <c r="N134" s="260"/>
      <c r="O134" s="260"/>
    </row>
    <row r="135" spans="2:15">
      <c r="B135" s="146"/>
      <c r="C135" s="147"/>
      <c r="D135" s="147"/>
      <c r="E135" s="275"/>
      <c r="F135" s="148"/>
      <c r="G135" s="258"/>
      <c r="H135" s="282"/>
      <c r="I135" s="260"/>
      <c r="J135" s="260"/>
      <c r="K135" s="260"/>
      <c r="L135" s="150"/>
      <c r="M135" s="150"/>
      <c r="N135" s="260"/>
      <c r="O135" s="260"/>
    </row>
    <row r="136" spans="2:15">
      <c r="B136" s="146"/>
      <c r="C136" s="147"/>
      <c r="D136" s="147"/>
      <c r="E136" s="275"/>
      <c r="F136" s="148"/>
      <c r="G136" s="258"/>
      <c r="H136" s="282"/>
      <c r="I136" s="260"/>
      <c r="J136" s="260"/>
      <c r="K136" s="260"/>
      <c r="L136" s="150"/>
      <c r="M136" s="150"/>
      <c r="N136" s="260"/>
      <c r="O136" s="260"/>
    </row>
    <row r="137" spans="2:15">
      <c r="B137" s="146"/>
      <c r="C137" s="147"/>
      <c r="D137" s="147"/>
      <c r="E137" s="275"/>
      <c r="F137" s="148"/>
      <c r="G137" s="258"/>
      <c r="H137" s="282"/>
      <c r="I137" s="260"/>
      <c r="J137" s="260"/>
      <c r="K137" s="260"/>
      <c r="L137" s="150"/>
      <c r="M137" s="150"/>
      <c r="N137" s="260"/>
      <c r="O137" s="260"/>
    </row>
    <row r="138" spans="2:15">
      <c r="B138" s="146"/>
      <c r="C138" s="147"/>
      <c r="D138" s="147"/>
      <c r="E138" s="275"/>
      <c r="F138" s="148"/>
      <c r="G138" s="258"/>
      <c r="H138" s="282"/>
      <c r="I138" s="260"/>
      <c r="J138" s="260"/>
      <c r="K138" s="260"/>
      <c r="L138" s="150"/>
      <c r="M138" s="150"/>
      <c r="N138" s="260"/>
      <c r="O138" s="260"/>
    </row>
    <row r="139" spans="2:15">
      <c r="B139" s="146"/>
      <c r="C139" s="147"/>
      <c r="D139" s="147"/>
      <c r="E139" s="275"/>
      <c r="F139" s="148"/>
      <c r="G139" s="258"/>
      <c r="H139" s="282"/>
      <c r="I139" s="260"/>
      <c r="J139" s="260"/>
      <c r="K139" s="260"/>
      <c r="L139" s="150"/>
      <c r="M139" s="150"/>
      <c r="N139" s="260"/>
      <c r="O139" s="260"/>
    </row>
    <row r="140" spans="2:15">
      <c r="B140" s="146"/>
      <c r="C140" s="147"/>
      <c r="D140" s="147"/>
      <c r="E140" s="275"/>
      <c r="F140" s="148"/>
      <c r="G140" s="258"/>
      <c r="H140" s="282"/>
      <c r="I140" s="260"/>
      <c r="J140" s="260"/>
      <c r="K140" s="260"/>
      <c r="L140" s="150"/>
      <c r="M140" s="150"/>
      <c r="N140" s="260"/>
      <c r="O140" s="260"/>
    </row>
    <row r="141" spans="2:15">
      <c r="B141" s="146"/>
      <c r="C141" s="147"/>
      <c r="D141" s="147"/>
      <c r="E141" s="275"/>
      <c r="F141" s="148"/>
      <c r="G141" s="258"/>
      <c r="H141" s="282"/>
      <c r="I141" s="260"/>
      <c r="J141" s="260"/>
      <c r="K141" s="260"/>
      <c r="L141" s="150"/>
      <c r="M141" s="150"/>
      <c r="N141" s="260"/>
      <c r="O141" s="260"/>
    </row>
    <row r="142" spans="2:15">
      <c r="B142" s="146"/>
      <c r="C142" s="147"/>
      <c r="D142" s="147"/>
      <c r="E142" s="275"/>
      <c r="F142" s="148"/>
      <c r="G142" s="258"/>
      <c r="H142" s="282"/>
      <c r="I142" s="260"/>
      <c r="J142" s="260"/>
      <c r="K142" s="260"/>
      <c r="L142" s="150"/>
      <c r="M142" s="150"/>
      <c r="N142" s="260"/>
      <c r="O142" s="260"/>
    </row>
    <row r="143" spans="2:15">
      <c r="B143" s="146"/>
      <c r="C143" s="147"/>
      <c r="D143" s="147"/>
      <c r="E143" s="275"/>
      <c r="F143" s="148"/>
      <c r="G143" s="258"/>
      <c r="H143" s="282"/>
      <c r="I143" s="260"/>
      <c r="J143" s="260"/>
      <c r="K143" s="260"/>
      <c r="L143" s="150"/>
      <c r="M143" s="150"/>
      <c r="N143" s="260"/>
      <c r="O143" s="260"/>
    </row>
    <row r="144" spans="2:15">
      <c r="B144" s="146"/>
      <c r="C144" s="147"/>
      <c r="D144" s="147"/>
      <c r="E144" s="275"/>
      <c r="F144" s="148"/>
      <c r="G144" s="258"/>
      <c r="H144" s="282"/>
      <c r="I144" s="260"/>
      <c r="J144" s="260"/>
      <c r="K144" s="260"/>
      <c r="L144" s="150"/>
      <c r="M144" s="150"/>
      <c r="N144" s="260"/>
      <c r="O144" s="260"/>
    </row>
    <row r="145" spans="2:15">
      <c r="B145" s="146"/>
      <c r="C145" s="147"/>
      <c r="D145" s="147"/>
      <c r="E145" s="275"/>
      <c r="F145" s="148"/>
      <c r="G145" s="258"/>
      <c r="H145" s="282"/>
      <c r="I145" s="260"/>
      <c r="J145" s="260"/>
      <c r="K145" s="260"/>
      <c r="L145" s="150"/>
      <c r="M145" s="150"/>
      <c r="N145" s="260"/>
      <c r="O145" s="260"/>
    </row>
    <row r="146" spans="2:15">
      <c r="B146" s="146"/>
      <c r="C146" s="147"/>
      <c r="D146" s="147"/>
      <c r="E146" s="275"/>
      <c r="F146" s="148"/>
      <c r="G146" s="258"/>
      <c r="H146" s="282"/>
      <c r="I146" s="260"/>
      <c r="J146" s="260"/>
      <c r="K146" s="260"/>
      <c r="L146" s="150"/>
      <c r="M146" s="150"/>
      <c r="N146" s="260"/>
      <c r="O146" s="260"/>
    </row>
    <row r="147" spans="2:15">
      <c r="B147" s="146"/>
      <c r="C147" s="147"/>
      <c r="D147" s="147"/>
      <c r="E147" s="275"/>
      <c r="F147" s="148"/>
      <c r="G147" s="258"/>
      <c r="H147" s="282"/>
      <c r="I147" s="260"/>
      <c r="J147" s="260"/>
      <c r="K147" s="260"/>
      <c r="L147" s="150"/>
      <c r="M147" s="150"/>
      <c r="N147" s="260"/>
      <c r="O147" s="260"/>
    </row>
    <row r="148" spans="2:15">
      <c r="B148" s="146"/>
      <c r="C148" s="147"/>
      <c r="D148" s="147"/>
      <c r="E148" s="275"/>
      <c r="F148" s="148"/>
      <c r="G148" s="258"/>
      <c r="H148" s="282"/>
      <c r="I148" s="260"/>
      <c r="J148" s="260"/>
      <c r="K148" s="260"/>
      <c r="L148" s="150"/>
      <c r="M148" s="150"/>
      <c r="N148" s="260"/>
      <c r="O148" s="260"/>
    </row>
    <row r="149" spans="2:15">
      <c r="B149" s="146"/>
      <c r="C149" s="147"/>
      <c r="D149" s="147"/>
      <c r="E149" s="275"/>
      <c r="F149" s="148"/>
      <c r="G149" s="258"/>
      <c r="H149" s="282"/>
      <c r="I149" s="260"/>
      <c r="J149" s="260"/>
      <c r="K149" s="260"/>
      <c r="L149" s="150"/>
      <c r="M149" s="150"/>
      <c r="N149" s="260"/>
      <c r="O149" s="260"/>
    </row>
    <row r="150" spans="2:15">
      <c r="B150" s="146"/>
      <c r="C150" s="147"/>
      <c r="D150" s="147"/>
      <c r="E150" s="275"/>
      <c r="F150" s="148"/>
      <c r="G150" s="258"/>
      <c r="H150" s="282"/>
      <c r="I150" s="260"/>
      <c r="J150" s="260"/>
      <c r="K150" s="260"/>
      <c r="L150" s="150"/>
      <c r="M150" s="150"/>
      <c r="N150" s="260"/>
      <c r="O150" s="260"/>
    </row>
    <row r="151" spans="2:15">
      <c r="B151" s="146"/>
      <c r="C151" s="147"/>
      <c r="D151" s="147"/>
      <c r="E151" s="275"/>
      <c r="F151" s="148"/>
      <c r="G151" s="258"/>
      <c r="H151" s="282"/>
      <c r="I151" s="260"/>
      <c r="J151" s="260"/>
      <c r="K151" s="260"/>
      <c r="L151" s="150"/>
      <c r="M151" s="150"/>
      <c r="N151" s="260"/>
      <c r="O151" s="260"/>
    </row>
    <row r="152" spans="2:15">
      <c r="B152" s="146"/>
      <c r="C152" s="147"/>
      <c r="D152" s="147"/>
      <c r="E152" s="275"/>
      <c r="F152" s="148"/>
      <c r="G152" s="258"/>
      <c r="H152" s="282"/>
      <c r="I152" s="260"/>
      <c r="J152" s="260"/>
      <c r="K152" s="260"/>
      <c r="L152" s="150"/>
      <c r="M152" s="150"/>
      <c r="N152" s="260"/>
      <c r="O152" s="260"/>
    </row>
    <row r="153" spans="2:15">
      <c r="B153" s="146"/>
      <c r="C153" s="147"/>
      <c r="D153" s="147"/>
      <c r="E153" s="275"/>
      <c r="F153" s="148"/>
      <c r="G153" s="258"/>
      <c r="H153" s="282"/>
      <c r="I153" s="260"/>
      <c r="J153" s="260"/>
      <c r="K153" s="260"/>
      <c r="L153" s="150"/>
      <c r="M153" s="150"/>
      <c r="N153" s="260"/>
      <c r="O153" s="260"/>
    </row>
    <row r="154" spans="2:15">
      <c r="B154" s="146"/>
      <c r="C154" s="147"/>
      <c r="D154" s="147"/>
      <c r="E154" s="275"/>
      <c r="F154" s="148"/>
      <c r="G154" s="258"/>
      <c r="H154" s="282"/>
      <c r="I154" s="260"/>
      <c r="J154" s="260"/>
      <c r="K154" s="260"/>
      <c r="L154" s="150"/>
      <c r="M154" s="150"/>
      <c r="N154" s="260"/>
      <c r="O154" s="260"/>
    </row>
    <row r="155" spans="2:15">
      <c r="B155" s="146"/>
      <c r="C155" s="147"/>
      <c r="D155" s="147"/>
      <c r="E155" s="275"/>
      <c r="F155" s="148"/>
      <c r="G155" s="258"/>
      <c r="H155" s="282"/>
      <c r="I155" s="260"/>
      <c r="J155" s="260"/>
      <c r="K155" s="260"/>
      <c r="L155" s="150"/>
      <c r="M155" s="150"/>
      <c r="N155" s="260"/>
      <c r="O155" s="260"/>
    </row>
    <row r="156" spans="2:15">
      <c r="B156" s="146"/>
      <c r="C156" s="147"/>
      <c r="D156" s="147"/>
      <c r="E156" s="275"/>
      <c r="F156" s="148"/>
      <c r="G156" s="258"/>
      <c r="H156" s="282"/>
      <c r="I156" s="260"/>
      <c r="J156" s="260"/>
      <c r="K156" s="260"/>
      <c r="L156" s="150"/>
      <c r="M156" s="150"/>
      <c r="N156" s="260"/>
      <c r="O156" s="260"/>
    </row>
    <row r="157" spans="2:15">
      <c r="B157" s="146"/>
      <c r="C157" s="147"/>
      <c r="D157" s="147"/>
      <c r="E157" s="275"/>
      <c r="F157" s="148"/>
      <c r="G157" s="258"/>
      <c r="H157" s="282"/>
      <c r="I157" s="260"/>
      <c r="J157" s="260"/>
      <c r="K157" s="260"/>
      <c r="L157" s="150"/>
      <c r="M157" s="150"/>
      <c r="N157" s="260"/>
      <c r="O157" s="260"/>
    </row>
    <row r="158" spans="2:15">
      <c r="B158" s="146"/>
      <c r="C158" s="147"/>
      <c r="D158" s="147"/>
      <c r="E158" s="275"/>
      <c r="F158" s="148"/>
      <c r="G158" s="258"/>
      <c r="H158" s="282"/>
      <c r="I158" s="260"/>
      <c r="J158" s="260"/>
      <c r="K158" s="260"/>
      <c r="L158" s="150"/>
      <c r="M158" s="150"/>
      <c r="N158" s="260"/>
      <c r="O158" s="260"/>
    </row>
    <row r="159" spans="2:15">
      <c r="B159" s="146"/>
      <c r="C159" s="147"/>
      <c r="D159" s="147"/>
      <c r="E159" s="275"/>
      <c r="F159" s="148"/>
      <c r="G159" s="258"/>
      <c r="H159" s="282"/>
      <c r="I159" s="260"/>
      <c r="J159" s="260"/>
      <c r="K159" s="260"/>
      <c r="L159" s="150"/>
      <c r="M159" s="150"/>
      <c r="N159" s="260"/>
      <c r="O159" s="260"/>
    </row>
    <row r="160" spans="2:15">
      <c r="B160" s="146"/>
      <c r="C160" s="147"/>
      <c r="D160" s="147"/>
      <c r="E160" s="275"/>
      <c r="F160" s="148"/>
      <c r="G160" s="258"/>
      <c r="H160" s="282"/>
      <c r="I160" s="260"/>
      <c r="J160" s="260"/>
      <c r="K160" s="260"/>
      <c r="L160" s="150"/>
      <c r="M160" s="150"/>
      <c r="N160" s="260"/>
      <c r="O160" s="260"/>
    </row>
    <row r="161" spans="2:15">
      <c r="B161" s="146"/>
      <c r="C161" s="147"/>
      <c r="D161" s="147"/>
      <c r="E161" s="275"/>
      <c r="F161" s="148"/>
      <c r="G161" s="258"/>
      <c r="H161" s="282"/>
      <c r="I161" s="260"/>
      <c r="J161" s="260"/>
      <c r="K161" s="260"/>
      <c r="L161" s="150"/>
      <c r="M161" s="150"/>
      <c r="N161" s="260"/>
      <c r="O161" s="260"/>
    </row>
    <row r="162" spans="2:15">
      <c r="B162" s="146"/>
      <c r="C162" s="147"/>
      <c r="D162" s="147"/>
      <c r="E162" s="275"/>
      <c r="F162" s="148"/>
      <c r="G162" s="258"/>
      <c r="H162" s="282"/>
      <c r="I162" s="260"/>
      <c r="J162" s="260"/>
      <c r="K162" s="260"/>
      <c r="L162" s="150"/>
      <c r="M162" s="150"/>
      <c r="N162" s="260"/>
      <c r="O162" s="260"/>
    </row>
    <row r="163" spans="2:15">
      <c r="B163" s="146"/>
      <c r="C163" s="147"/>
      <c r="D163" s="147"/>
      <c r="E163" s="275"/>
      <c r="F163" s="148"/>
      <c r="G163" s="258"/>
      <c r="H163" s="282"/>
      <c r="I163" s="260"/>
      <c r="J163" s="260"/>
      <c r="K163" s="260"/>
      <c r="L163" s="150"/>
      <c r="M163" s="150"/>
      <c r="N163" s="260"/>
      <c r="O163" s="260"/>
    </row>
    <row r="164" spans="2:15">
      <c r="B164" s="146"/>
      <c r="C164" s="147"/>
      <c r="D164" s="147"/>
      <c r="E164" s="275"/>
      <c r="F164" s="148"/>
      <c r="G164" s="258"/>
      <c r="H164" s="282"/>
      <c r="I164" s="260"/>
      <c r="J164" s="260"/>
      <c r="K164" s="260"/>
      <c r="L164" s="150"/>
      <c r="M164" s="150"/>
      <c r="N164" s="260"/>
      <c r="O164" s="260"/>
    </row>
    <row r="165" spans="2:15">
      <c r="B165" s="146"/>
      <c r="C165" s="147"/>
      <c r="D165" s="147"/>
      <c r="E165" s="275"/>
      <c r="F165" s="148"/>
      <c r="G165" s="258"/>
      <c r="H165" s="282"/>
      <c r="I165" s="260"/>
      <c r="J165" s="260"/>
      <c r="K165" s="260"/>
      <c r="L165" s="150"/>
      <c r="M165" s="150"/>
      <c r="N165" s="260"/>
      <c r="O165" s="260"/>
    </row>
    <row r="166" spans="2:15">
      <c r="B166" s="146"/>
      <c r="C166" s="147"/>
      <c r="D166" s="147"/>
      <c r="E166" s="275"/>
      <c r="F166" s="148"/>
      <c r="G166" s="258"/>
      <c r="H166" s="282"/>
      <c r="I166" s="260"/>
      <c r="J166" s="260"/>
      <c r="K166" s="260"/>
      <c r="L166" s="150"/>
      <c r="M166" s="150"/>
      <c r="N166" s="260"/>
      <c r="O166" s="260"/>
    </row>
    <row r="167" spans="2:15">
      <c r="B167" s="146"/>
      <c r="C167" s="147"/>
      <c r="D167" s="147"/>
      <c r="E167" s="275"/>
      <c r="F167" s="148"/>
      <c r="G167" s="258"/>
      <c r="H167" s="282"/>
      <c r="I167" s="260"/>
      <c r="J167" s="260"/>
      <c r="K167" s="260"/>
      <c r="L167" s="150"/>
      <c r="M167" s="150"/>
      <c r="N167" s="260"/>
      <c r="O167" s="260"/>
    </row>
    <row r="168" spans="2:15">
      <c r="B168" s="146"/>
      <c r="C168" s="147"/>
      <c r="D168" s="147"/>
      <c r="E168" s="275"/>
      <c r="F168" s="148"/>
      <c r="G168" s="258"/>
      <c r="H168" s="282"/>
      <c r="I168" s="260"/>
      <c r="J168" s="260"/>
      <c r="K168" s="260"/>
      <c r="L168" s="150"/>
      <c r="M168" s="150"/>
      <c r="N168" s="260"/>
      <c r="O168" s="260"/>
    </row>
    <row r="169" spans="2:15">
      <c r="B169" s="146"/>
      <c r="C169" s="147"/>
      <c r="D169" s="147"/>
      <c r="E169" s="275"/>
      <c r="F169" s="148"/>
      <c r="G169" s="258"/>
      <c r="H169" s="282"/>
      <c r="I169" s="260"/>
      <c r="J169" s="260"/>
      <c r="K169" s="260"/>
      <c r="L169" s="150"/>
      <c r="M169" s="150"/>
      <c r="N169" s="260"/>
      <c r="O169" s="260"/>
    </row>
    <row r="170" spans="2:15">
      <c r="B170" s="146"/>
      <c r="C170" s="147"/>
      <c r="D170" s="147"/>
      <c r="E170" s="275"/>
      <c r="F170" s="148"/>
      <c r="G170" s="258"/>
      <c r="H170" s="282"/>
      <c r="I170" s="260"/>
      <c r="J170" s="260"/>
      <c r="K170" s="260"/>
      <c r="L170" s="150"/>
      <c r="M170" s="150"/>
      <c r="N170" s="260"/>
      <c r="O170" s="260"/>
    </row>
    <row r="171" spans="2:15">
      <c r="B171" s="146"/>
      <c r="C171" s="147"/>
      <c r="D171" s="147"/>
      <c r="E171" s="275"/>
      <c r="F171" s="148"/>
      <c r="G171" s="258"/>
      <c r="H171" s="282"/>
      <c r="I171" s="260"/>
      <c r="J171" s="260"/>
      <c r="K171" s="260"/>
      <c r="L171" s="150"/>
      <c r="M171" s="150"/>
      <c r="N171" s="260"/>
      <c r="O171" s="260"/>
    </row>
    <row r="172" spans="2:15">
      <c r="B172" s="146"/>
      <c r="C172" s="147"/>
      <c r="D172" s="147"/>
      <c r="E172" s="275"/>
      <c r="F172" s="148"/>
      <c r="G172" s="258"/>
      <c r="H172" s="282"/>
      <c r="I172" s="260"/>
      <c r="J172" s="260"/>
      <c r="K172" s="260"/>
      <c r="L172" s="150"/>
      <c r="M172" s="150"/>
      <c r="N172" s="260"/>
      <c r="O172" s="260"/>
    </row>
    <row r="173" spans="2:15">
      <c r="B173" s="146"/>
      <c r="C173" s="147"/>
      <c r="D173" s="147"/>
      <c r="E173" s="275"/>
      <c r="F173" s="148"/>
      <c r="G173" s="258"/>
      <c r="H173" s="282"/>
      <c r="I173" s="260"/>
      <c r="J173" s="260"/>
      <c r="K173" s="260"/>
      <c r="L173" s="150"/>
      <c r="M173" s="150"/>
      <c r="N173" s="260"/>
      <c r="O173" s="260"/>
    </row>
    <row r="174" spans="2:15">
      <c r="B174" s="146"/>
      <c r="C174" s="147"/>
      <c r="D174" s="147"/>
      <c r="E174" s="275"/>
      <c r="F174" s="148"/>
      <c r="G174" s="258"/>
      <c r="H174" s="282"/>
      <c r="I174" s="260"/>
      <c r="J174" s="260"/>
      <c r="K174" s="260"/>
      <c r="L174" s="150"/>
      <c r="M174" s="150"/>
      <c r="N174" s="260"/>
      <c r="O174" s="260"/>
    </row>
    <row r="175" spans="2:15">
      <c r="B175" s="146"/>
      <c r="C175" s="147"/>
      <c r="D175" s="147"/>
      <c r="E175" s="275"/>
      <c r="F175" s="148"/>
      <c r="G175" s="258"/>
      <c r="H175" s="282"/>
      <c r="I175" s="260"/>
      <c r="J175" s="260"/>
      <c r="K175" s="260"/>
      <c r="L175" s="150"/>
      <c r="M175" s="150"/>
      <c r="N175" s="260"/>
      <c r="O175" s="260"/>
    </row>
    <row r="176" spans="2:15">
      <c r="B176" s="146"/>
      <c r="C176" s="147"/>
      <c r="D176" s="147"/>
      <c r="E176" s="275"/>
      <c r="F176" s="148"/>
      <c r="G176" s="258"/>
      <c r="H176" s="282"/>
      <c r="I176" s="260"/>
      <c r="J176" s="260"/>
      <c r="K176" s="260"/>
      <c r="L176" s="150"/>
      <c r="M176" s="150"/>
      <c r="N176" s="260"/>
      <c r="O176" s="260"/>
    </row>
    <row r="177" spans="2:15">
      <c r="B177" s="146"/>
      <c r="C177" s="147"/>
      <c r="D177" s="147"/>
      <c r="E177" s="275"/>
      <c r="F177" s="148"/>
      <c r="G177" s="258"/>
      <c r="H177" s="282"/>
      <c r="I177" s="260"/>
      <c r="J177" s="260"/>
      <c r="K177" s="260"/>
      <c r="L177" s="150"/>
      <c r="M177" s="150"/>
      <c r="N177" s="260"/>
      <c r="O177" s="260"/>
    </row>
    <row r="178" spans="2:15">
      <c r="B178" s="146"/>
      <c r="C178" s="147"/>
      <c r="D178" s="147"/>
      <c r="E178" s="275"/>
      <c r="F178" s="148"/>
      <c r="G178" s="258"/>
      <c r="H178" s="282"/>
      <c r="I178" s="260"/>
      <c r="J178" s="260"/>
      <c r="K178" s="260"/>
      <c r="L178" s="150"/>
      <c r="M178" s="150"/>
      <c r="N178" s="260"/>
      <c r="O178" s="260"/>
    </row>
    <row r="179" spans="2:15">
      <c r="B179" s="146"/>
      <c r="C179" s="147"/>
      <c r="D179" s="147"/>
      <c r="E179" s="275"/>
      <c r="F179" s="148"/>
      <c r="G179" s="258"/>
      <c r="H179" s="282"/>
      <c r="I179" s="260"/>
      <c r="J179" s="260"/>
      <c r="K179" s="260"/>
      <c r="L179" s="150"/>
      <c r="M179" s="150"/>
      <c r="N179" s="260"/>
      <c r="O179" s="260"/>
    </row>
    <row r="180" spans="2:15">
      <c r="B180" s="146"/>
      <c r="C180" s="147"/>
      <c r="D180" s="147"/>
      <c r="E180" s="275"/>
      <c r="F180" s="148"/>
      <c r="G180" s="258"/>
      <c r="H180" s="282"/>
      <c r="I180" s="260"/>
      <c r="J180" s="260"/>
      <c r="K180" s="260"/>
      <c r="L180" s="150"/>
      <c r="M180" s="150"/>
      <c r="N180" s="260"/>
      <c r="O180" s="260"/>
    </row>
    <row r="181" spans="2:15">
      <c r="B181" s="146"/>
      <c r="C181" s="147"/>
      <c r="D181" s="147"/>
      <c r="E181" s="275"/>
      <c r="F181" s="148"/>
      <c r="G181" s="258"/>
      <c r="H181" s="282"/>
      <c r="I181" s="260"/>
      <c r="J181" s="260"/>
      <c r="K181" s="260"/>
      <c r="L181" s="150"/>
      <c r="M181" s="150"/>
      <c r="N181" s="260"/>
      <c r="O181" s="260"/>
    </row>
    <row r="182" spans="2:15">
      <c r="B182" s="146"/>
      <c r="C182" s="147"/>
      <c r="D182" s="147"/>
      <c r="E182" s="275"/>
      <c r="F182" s="148"/>
      <c r="G182" s="258"/>
      <c r="H182" s="282"/>
      <c r="I182" s="260"/>
      <c r="J182" s="260"/>
      <c r="K182" s="260"/>
      <c r="L182" s="150"/>
      <c r="M182" s="150"/>
      <c r="N182" s="260"/>
      <c r="O182" s="260"/>
    </row>
    <row r="183" spans="2:15">
      <c r="B183" s="146"/>
      <c r="C183" s="147"/>
      <c r="D183" s="147"/>
      <c r="E183" s="275"/>
      <c r="F183" s="148"/>
      <c r="G183" s="258"/>
      <c r="H183" s="282"/>
      <c r="I183" s="260"/>
      <c r="J183" s="260"/>
      <c r="K183" s="260"/>
      <c r="L183" s="150"/>
      <c r="M183" s="150"/>
      <c r="N183" s="260"/>
      <c r="O183" s="260"/>
    </row>
    <row r="184" spans="2:15">
      <c r="B184" s="146"/>
      <c r="C184" s="147"/>
      <c r="D184" s="147"/>
      <c r="E184" s="275"/>
      <c r="F184" s="148"/>
      <c r="G184" s="258"/>
      <c r="H184" s="282"/>
      <c r="I184" s="260"/>
      <c r="J184" s="260"/>
      <c r="K184" s="260"/>
      <c r="L184" s="150"/>
      <c r="M184" s="150"/>
      <c r="N184" s="260"/>
      <c r="O184" s="260"/>
    </row>
    <row r="185" spans="2:15">
      <c r="B185" s="146"/>
      <c r="C185" s="147"/>
      <c r="D185" s="147"/>
      <c r="E185" s="275"/>
      <c r="F185" s="148"/>
      <c r="G185" s="258"/>
      <c r="H185" s="282"/>
      <c r="I185" s="260"/>
      <c r="J185" s="260"/>
      <c r="K185" s="260"/>
      <c r="L185" s="150"/>
      <c r="M185" s="150"/>
      <c r="N185" s="260"/>
      <c r="O185" s="260"/>
    </row>
    <row r="186" spans="2:15">
      <c r="B186" s="146"/>
      <c r="C186" s="147"/>
      <c r="D186" s="147"/>
      <c r="E186" s="275"/>
      <c r="F186" s="148"/>
      <c r="G186" s="258"/>
      <c r="H186" s="282"/>
      <c r="I186" s="260"/>
      <c r="J186" s="260"/>
      <c r="K186" s="260"/>
      <c r="L186" s="150"/>
      <c r="M186" s="150"/>
      <c r="N186" s="260"/>
      <c r="O186" s="260"/>
    </row>
    <row r="187" spans="2:15">
      <c r="B187" s="146"/>
      <c r="C187" s="147"/>
      <c r="D187" s="147"/>
      <c r="E187" s="275"/>
      <c r="F187" s="148"/>
      <c r="G187" s="258"/>
      <c r="H187" s="282"/>
      <c r="I187" s="260"/>
      <c r="J187" s="260"/>
      <c r="K187" s="260"/>
      <c r="L187" s="150"/>
      <c r="M187" s="150"/>
      <c r="N187" s="260"/>
      <c r="O187" s="260"/>
    </row>
    <row r="188" spans="2:15">
      <c r="B188" s="146"/>
      <c r="C188" s="147"/>
      <c r="D188" s="147"/>
      <c r="E188" s="275"/>
      <c r="F188" s="148"/>
      <c r="G188" s="258"/>
      <c r="H188" s="282"/>
      <c r="I188" s="260"/>
      <c r="J188" s="260"/>
      <c r="K188" s="260"/>
      <c r="L188" s="150"/>
      <c r="M188" s="150"/>
      <c r="N188" s="260"/>
      <c r="O188" s="260"/>
    </row>
    <row r="189" spans="2:15">
      <c r="B189" s="146"/>
      <c r="C189" s="147"/>
      <c r="D189" s="147"/>
      <c r="E189" s="275"/>
      <c r="F189" s="148"/>
      <c r="G189" s="258"/>
      <c r="H189" s="282"/>
      <c r="I189" s="260"/>
      <c r="J189" s="260"/>
      <c r="K189" s="260"/>
      <c r="L189" s="150"/>
      <c r="M189" s="150"/>
      <c r="N189" s="260"/>
      <c r="O189" s="260"/>
    </row>
    <row r="190" spans="2:15">
      <c r="B190" s="146"/>
      <c r="C190" s="147"/>
      <c r="D190" s="147"/>
      <c r="E190" s="275"/>
      <c r="F190" s="148"/>
      <c r="G190" s="258"/>
      <c r="H190" s="282"/>
      <c r="I190" s="260"/>
      <c r="J190" s="260"/>
      <c r="K190" s="260"/>
      <c r="L190" s="150"/>
      <c r="M190" s="150"/>
      <c r="N190" s="260"/>
      <c r="O190" s="260"/>
    </row>
    <row r="191" spans="2:15">
      <c r="B191" s="146"/>
      <c r="C191" s="147"/>
      <c r="D191" s="147"/>
      <c r="E191" s="275"/>
      <c r="F191" s="148"/>
      <c r="G191" s="258"/>
      <c r="H191" s="282"/>
      <c r="I191" s="260"/>
      <c r="J191" s="260"/>
      <c r="K191" s="260"/>
      <c r="L191" s="150"/>
      <c r="M191" s="150"/>
      <c r="N191" s="260"/>
      <c r="O191" s="260"/>
    </row>
    <row r="192" spans="2:15">
      <c r="B192" s="146"/>
      <c r="C192" s="147"/>
      <c r="D192" s="147"/>
      <c r="E192" s="275"/>
      <c r="F192" s="148"/>
      <c r="G192" s="258"/>
      <c r="H192" s="282"/>
      <c r="I192" s="260"/>
      <c r="J192" s="260"/>
      <c r="K192" s="260"/>
      <c r="L192" s="150"/>
      <c r="M192" s="150"/>
      <c r="N192" s="260"/>
      <c r="O192" s="260"/>
    </row>
    <row r="193" spans="2:15">
      <c r="B193" s="146"/>
      <c r="C193" s="147"/>
      <c r="D193" s="147"/>
      <c r="E193" s="275"/>
      <c r="F193" s="148"/>
      <c r="G193" s="258"/>
      <c r="H193" s="282"/>
      <c r="I193" s="260"/>
      <c r="J193" s="260"/>
      <c r="K193" s="260"/>
      <c r="L193" s="150"/>
      <c r="M193" s="150"/>
      <c r="N193" s="260"/>
      <c r="O193" s="260"/>
    </row>
    <row r="194" spans="2:15">
      <c r="B194" s="146"/>
      <c r="C194" s="147"/>
      <c r="D194" s="147"/>
      <c r="E194" s="275"/>
      <c r="F194" s="148"/>
      <c r="G194" s="258"/>
      <c r="H194" s="282"/>
      <c r="I194" s="260"/>
      <c r="J194" s="260"/>
      <c r="K194" s="260"/>
      <c r="L194" s="150"/>
      <c r="M194" s="150"/>
      <c r="N194" s="260"/>
      <c r="O194" s="260"/>
    </row>
    <row r="195" spans="2:15">
      <c r="B195" s="146"/>
      <c r="C195" s="147"/>
      <c r="D195" s="147"/>
      <c r="E195" s="275"/>
      <c r="F195" s="148"/>
      <c r="G195" s="258"/>
      <c r="H195" s="282"/>
      <c r="I195" s="260"/>
      <c r="J195" s="260"/>
      <c r="K195" s="260"/>
      <c r="L195" s="150"/>
      <c r="M195" s="150"/>
      <c r="N195" s="260"/>
      <c r="O195" s="260"/>
    </row>
    <row r="196" spans="2:15">
      <c r="B196" s="146"/>
      <c r="C196" s="147"/>
      <c r="D196" s="147"/>
      <c r="E196" s="275"/>
      <c r="F196" s="148"/>
      <c r="G196" s="258"/>
      <c r="H196" s="282"/>
      <c r="I196" s="260"/>
      <c r="J196" s="260"/>
      <c r="K196" s="260"/>
      <c r="L196" s="150"/>
      <c r="M196" s="150"/>
      <c r="N196" s="260"/>
      <c r="O196" s="260"/>
    </row>
    <row r="197" spans="2:15">
      <c r="B197" s="146"/>
      <c r="C197" s="147"/>
      <c r="D197" s="147"/>
      <c r="E197" s="275"/>
      <c r="F197" s="148"/>
      <c r="G197" s="258"/>
      <c r="H197" s="282"/>
      <c r="I197" s="260"/>
      <c r="J197" s="260"/>
      <c r="K197" s="260"/>
      <c r="L197" s="150"/>
      <c r="M197" s="150"/>
      <c r="N197" s="260"/>
      <c r="O197" s="260"/>
    </row>
    <row r="198" spans="2:15">
      <c r="B198" s="146"/>
      <c r="C198" s="147"/>
      <c r="D198" s="147"/>
      <c r="E198" s="275"/>
      <c r="F198" s="148"/>
      <c r="G198" s="258"/>
      <c r="H198" s="282"/>
      <c r="I198" s="260"/>
      <c r="J198" s="260"/>
      <c r="K198" s="260"/>
      <c r="L198" s="150"/>
      <c r="M198" s="150"/>
      <c r="N198" s="260"/>
      <c r="O198" s="260"/>
    </row>
    <row r="199" spans="2:15">
      <c r="B199" s="146"/>
      <c r="C199" s="147"/>
      <c r="D199" s="147"/>
      <c r="E199" s="275"/>
      <c r="F199" s="148"/>
      <c r="G199" s="258"/>
      <c r="H199" s="282"/>
      <c r="I199" s="260"/>
      <c r="J199" s="260"/>
      <c r="K199" s="260"/>
      <c r="L199" s="150"/>
      <c r="M199" s="150"/>
      <c r="N199" s="260"/>
      <c r="O199" s="260"/>
    </row>
    <row r="200" spans="2:15">
      <c r="B200" s="146"/>
      <c r="C200" s="147"/>
      <c r="D200" s="147"/>
      <c r="E200" s="275"/>
      <c r="F200" s="148"/>
      <c r="G200" s="258"/>
      <c r="H200" s="282"/>
      <c r="I200" s="260"/>
      <c r="J200" s="260"/>
      <c r="K200" s="260"/>
      <c r="L200" s="150"/>
      <c r="M200" s="150"/>
      <c r="N200" s="260"/>
      <c r="O200" s="260"/>
    </row>
    <row r="201" spans="2:15">
      <c r="B201" s="146"/>
      <c r="C201" s="147"/>
      <c r="D201" s="147"/>
      <c r="E201" s="275"/>
      <c r="F201" s="148"/>
      <c r="G201" s="258"/>
      <c r="H201" s="282"/>
      <c r="I201" s="260"/>
      <c r="J201" s="260"/>
      <c r="K201" s="260"/>
      <c r="L201" s="150"/>
      <c r="M201" s="150"/>
      <c r="N201" s="260"/>
      <c r="O201" s="260"/>
    </row>
    <row r="202" spans="2:15">
      <c r="B202" s="146"/>
      <c r="C202" s="147"/>
      <c r="D202" s="147"/>
      <c r="E202" s="275"/>
      <c r="F202" s="148"/>
      <c r="G202" s="258"/>
      <c r="H202" s="282"/>
      <c r="I202" s="260"/>
      <c r="J202" s="260"/>
      <c r="K202" s="260"/>
      <c r="L202" s="150"/>
      <c r="M202" s="150"/>
      <c r="N202" s="260"/>
      <c r="O202" s="260"/>
    </row>
    <row r="203" spans="2:15">
      <c r="B203" s="146"/>
      <c r="C203" s="147"/>
      <c r="D203" s="147"/>
      <c r="E203" s="275"/>
      <c r="F203" s="148"/>
      <c r="G203" s="258"/>
      <c r="H203" s="282"/>
      <c r="I203" s="260"/>
      <c r="J203" s="260"/>
      <c r="K203" s="260"/>
      <c r="L203" s="150"/>
      <c r="M203" s="150"/>
      <c r="N203" s="260"/>
      <c r="O203" s="260"/>
    </row>
    <row r="204" spans="2:15">
      <c r="B204" s="146"/>
      <c r="C204" s="147"/>
      <c r="D204" s="147"/>
      <c r="E204" s="275"/>
      <c r="F204" s="148"/>
      <c r="G204" s="258"/>
      <c r="H204" s="282"/>
      <c r="I204" s="260"/>
      <c r="J204" s="260"/>
      <c r="K204" s="260"/>
      <c r="L204" s="150"/>
      <c r="M204" s="150"/>
      <c r="N204" s="260"/>
      <c r="O204" s="260"/>
    </row>
    <row r="205" spans="2:15">
      <c r="B205" s="146"/>
      <c r="C205" s="147"/>
      <c r="D205" s="147"/>
      <c r="E205" s="275"/>
      <c r="F205" s="148"/>
      <c r="G205" s="258"/>
      <c r="H205" s="282"/>
      <c r="I205" s="260"/>
      <c r="J205" s="260"/>
      <c r="K205" s="260"/>
      <c r="L205" s="150"/>
      <c r="M205" s="150"/>
      <c r="N205" s="260"/>
      <c r="O205" s="260"/>
    </row>
    <row r="206" spans="2:15">
      <c r="B206" s="146"/>
      <c r="C206" s="147"/>
      <c r="D206" s="147"/>
      <c r="E206" s="275"/>
      <c r="F206" s="148"/>
      <c r="G206" s="258"/>
      <c r="H206" s="282"/>
      <c r="I206" s="260"/>
      <c r="J206" s="260"/>
      <c r="K206" s="260"/>
      <c r="L206" s="150"/>
      <c r="M206" s="150"/>
      <c r="N206" s="260"/>
      <c r="O206" s="260"/>
    </row>
    <row r="207" spans="2:15">
      <c r="B207" s="146"/>
      <c r="C207" s="147"/>
      <c r="D207" s="147"/>
      <c r="E207" s="275"/>
      <c r="F207" s="148"/>
      <c r="G207" s="258"/>
      <c r="H207" s="282"/>
      <c r="I207" s="260"/>
      <c r="J207" s="260"/>
      <c r="K207" s="260"/>
      <c r="L207" s="150"/>
      <c r="M207" s="150"/>
      <c r="N207" s="260"/>
      <c r="O207" s="260"/>
    </row>
    <row r="208" spans="2:15">
      <c r="B208" s="146"/>
      <c r="C208" s="147"/>
      <c r="D208" s="147"/>
      <c r="E208" s="275"/>
      <c r="F208" s="148"/>
      <c r="G208" s="258"/>
      <c r="H208" s="282"/>
      <c r="I208" s="260"/>
      <c r="J208" s="260"/>
      <c r="K208" s="260"/>
      <c r="L208" s="150"/>
      <c r="M208" s="150"/>
      <c r="N208" s="260"/>
      <c r="O208" s="260"/>
    </row>
    <row r="209" spans="2:15">
      <c r="B209" s="146"/>
      <c r="C209" s="147"/>
      <c r="D209" s="147"/>
      <c r="E209" s="275"/>
      <c r="F209" s="148"/>
      <c r="G209" s="258"/>
      <c r="H209" s="282"/>
      <c r="I209" s="260"/>
      <c r="J209" s="260"/>
      <c r="K209" s="260"/>
      <c r="L209" s="150"/>
      <c r="M209" s="150"/>
      <c r="N209" s="260"/>
      <c r="O209" s="260"/>
    </row>
    <row r="210" spans="2:15">
      <c r="B210" s="146"/>
      <c r="C210" s="147"/>
      <c r="D210" s="147"/>
      <c r="E210" s="275"/>
      <c r="F210" s="148"/>
      <c r="G210" s="258"/>
      <c r="H210" s="282"/>
      <c r="I210" s="260"/>
      <c r="J210" s="260"/>
      <c r="K210" s="260"/>
      <c r="L210" s="150"/>
      <c r="M210" s="150"/>
      <c r="N210" s="260"/>
      <c r="O210" s="260"/>
    </row>
    <row r="211" spans="2:15">
      <c r="B211" s="146"/>
      <c r="C211" s="147"/>
      <c r="D211" s="147"/>
      <c r="E211" s="275"/>
      <c r="F211" s="148"/>
      <c r="G211" s="258"/>
      <c r="H211" s="282"/>
      <c r="I211" s="260"/>
      <c r="J211" s="260"/>
      <c r="K211" s="260"/>
      <c r="L211" s="150"/>
      <c r="M211" s="150"/>
      <c r="N211" s="260"/>
      <c r="O211" s="260"/>
    </row>
    <row r="212" spans="2:15">
      <c r="B212" s="146"/>
      <c r="C212" s="147"/>
      <c r="D212" s="147"/>
      <c r="E212" s="275"/>
      <c r="F212" s="148"/>
      <c r="G212" s="258"/>
      <c r="H212" s="282"/>
      <c r="I212" s="260"/>
      <c r="J212" s="260"/>
      <c r="K212" s="260"/>
      <c r="L212" s="150"/>
      <c r="M212" s="150"/>
      <c r="N212" s="260"/>
      <c r="O212" s="260"/>
    </row>
    <row r="213" spans="2:15">
      <c r="B213" s="146"/>
      <c r="C213" s="147"/>
      <c r="D213" s="147"/>
      <c r="E213" s="275"/>
      <c r="F213" s="148"/>
      <c r="G213" s="258"/>
      <c r="H213" s="282"/>
      <c r="I213" s="260"/>
      <c r="J213" s="260"/>
      <c r="K213" s="260"/>
      <c r="L213" s="150"/>
      <c r="M213" s="150"/>
      <c r="N213" s="260"/>
      <c r="O213" s="260"/>
    </row>
    <row r="214" spans="2:15">
      <c r="B214" s="146"/>
      <c r="C214" s="147"/>
      <c r="D214" s="147"/>
      <c r="E214" s="275"/>
      <c r="F214" s="148"/>
      <c r="G214" s="258"/>
      <c r="H214" s="282"/>
      <c r="I214" s="260"/>
      <c r="J214" s="260"/>
      <c r="K214" s="260"/>
      <c r="L214" s="150"/>
      <c r="M214" s="150"/>
      <c r="N214" s="260"/>
      <c r="O214" s="260"/>
    </row>
    <row r="215" spans="2:15">
      <c r="B215" s="146"/>
      <c r="C215" s="147"/>
      <c r="D215" s="147"/>
      <c r="E215" s="275"/>
      <c r="F215" s="148"/>
      <c r="G215" s="258"/>
      <c r="H215" s="282"/>
      <c r="I215" s="260"/>
      <c r="J215" s="260"/>
      <c r="K215" s="260"/>
      <c r="L215" s="150"/>
      <c r="M215" s="150"/>
      <c r="N215" s="260"/>
      <c r="O215" s="260"/>
    </row>
    <row r="216" spans="2:15">
      <c r="B216" s="146"/>
      <c r="C216" s="147"/>
      <c r="D216" s="147"/>
      <c r="E216" s="275"/>
      <c r="F216" s="148"/>
      <c r="G216" s="258"/>
      <c r="H216" s="282"/>
      <c r="I216" s="260"/>
      <c r="J216" s="260"/>
      <c r="K216" s="260"/>
      <c r="L216" s="150"/>
      <c r="M216" s="150"/>
      <c r="N216" s="260"/>
      <c r="O216" s="260"/>
    </row>
    <row r="217" spans="2:15">
      <c r="B217" s="146"/>
      <c r="C217" s="147"/>
      <c r="D217" s="147"/>
      <c r="E217" s="275"/>
      <c r="F217" s="148"/>
      <c r="G217" s="258"/>
      <c r="H217" s="282"/>
      <c r="I217" s="260"/>
      <c r="J217" s="260"/>
      <c r="K217" s="260"/>
      <c r="L217" s="150"/>
      <c r="M217" s="150"/>
      <c r="N217" s="260"/>
      <c r="O217" s="260"/>
    </row>
    <row r="218" spans="2:15">
      <c r="B218" s="146"/>
      <c r="C218" s="147"/>
      <c r="D218" s="147"/>
      <c r="E218" s="275"/>
      <c r="F218" s="148"/>
      <c r="G218" s="258"/>
      <c r="H218" s="282"/>
      <c r="I218" s="260"/>
      <c r="J218" s="260"/>
      <c r="K218" s="260"/>
      <c r="L218" s="150"/>
      <c r="M218" s="150"/>
      <c r="N218" s="260"/>
      <c r="O218" s="260"/>
    </row>
    <row r="219" spans="2:15">
      <c r="B219" s="146"/>
      <c r="C219" s="147"/>
      <c r="D219" s="147"/>
      <c r="E219" s="275"/>
      <c r="F219" s="148"/>
      <c r="G219" s="258"/>
      <c r="H219" s="282"/>
      <c r="I219" s="260"/>
      <c r="J219" s="260"/>
      <c r="K219" s="260"/>
      <c r="L219" s="150"/>
      <c r="M219" s="150"/>
      <c r="N219" s="260"/>
      <c r="O219" s="260"/>
    </row>
    <row r="220" spans="2:15">
      <c r="B220" s="146"/>
      <c r="C220" s="147"/>
      <c r="D220" s="147"/>
      <c r="E220" s="275"/>
      <c r="F220" s="148"/>
      <c r="G220" s="258"/>
      <c r="H220" s="282"/>
      <c r="I220" s="260"/>
      <c r="J220" s="260"/>
      <c r="K220" s="260"/>
      <c r="L220" s="150"/>
      <c r="M220" s="150"/>
      <c r="N220" s="260"/>
      <c r="O220" s="260"/>
    </row>
    <row r="221" spans="2:15">
      <c r="B221" s="146"/>
      <c r="C221" s="147"/>
      <c r="D221" s="147"/>
      <c r="E221" s="275"/>
      <c r="F221" s="148"/>
      <c r="G221" s="258"/>
      <c r="H221" s="282"/>
      <c r="I221" s="260"/>
      <c r="J221" s="260"/>
      <c r="K221" s="260"/>
      <c r="L221" s="150"/>
      <c r="M221" s="150"/>
      <c r="N221" s="260"/>
      <c r="O221" s="260"/>
    </row>
    <row r="222" spans="2:15">
      <c r="B222" s="146"/>
      <c r="C222" s="147"/>
      <c r="D222" s="147"/>
      <c r="E222" s="275"/>
      <c r="F222" s="148"/>
      <c r="G222" s="258"/>
      <c r="H222" s="282"/>
      <c r="I222" s="260"/>
      <c r="J222" s="260"/>
      <c r="K222" s="260"/>
      <c r="L222" s="150"/>
      <c r="M222" s="150"/>
      <c r="N222" s="260"/>
      <c r="O222" s="260"/>
    </row>
    <row r="223" spans="2:15">
      <c r="B223" s="146"/>
      <c r="C223" s="147"/>
      <c r="D223" s="147"/>
      <c r="E223" s="275"/>
      <c r="F223" s="148"/>
      <c r="G223" s="258"/>
      <c r="H223" s="282"/>
      <c r="I223" s="260"/>
      <c r="J223" s="260"/>
      <c r="K223" s="260"/>
      <c r="L223" s="150"/>
      <c r="M223" s="150"/>
      <c r="N223" s="260"/>
      <c r="O223" s="260"/>
    </row>
    <row r="224" spans="2:15">
      <c r="B224" s="146"/>
      <c r="C224" s="147"/>
      <c r="D224" s="147"/>
      <c r="E224" s="275"/>
      <c r="F224" s="148"/>
      <c r="G224" s="258"/>
      <c r="H224" s="282"/>
      <c r="I224" s="260"/>
      <c r="J224" s="260"/>
      <c r="K224" s="260"/>
      <c r="L224" s="150"/>
      <c r="M224" s="150"/>
      <c r="N224" s="260"/>
      <c r="O224" s="260"/>
    </row>
    <row r="225" spans="2:15">
      <c r="B225" s="146"/>
      <c r="C225" s="147"/>
      <c r="D225" s="147"/>
      <c r="E225" s="275"/>
      <c r="F225" s="148"/>
      <c r="G225" s="258"/>
      <c r="H225" s="282"/>
      <c r="I225" s="260"/>
      <c r="J225" s="260"/>
      <c r="K225" s="260"/>
      <c r="L225" s="150"/>
      <c r="M225" s="150"/>
      <c r="N225" s="260"/>
      <c r="O225" s="260"/>
    </row>
    <row r="226" spans="2:15">
      <c r="B226" s="146"/>
      <c r="C226" s="147"/>
      <c r="D226" s="147"/>
      <c r="E226" s="275"/>
      <c r="F226" s="148"/>
      <c r="G226" s="258"/>
      <c r="H226" s="282"/>
      <c r="I226" s="260"/>
      <c r="J226" s="260"/>
      <c r="K226" s="260"/>
      <c r="L226" s="150"/>
      <c r="M226" s="150"/>
      <c r="N226" s="260"/>
      <c r="O226" s="260"/>
    </row>
    <row r="227" spans="2:15">
      <c r="B227" s="146"/>
      <c r="C227" s="147"/>
      <c r="D227" s="147"/>
      <c r="E227" s="275"/>
      <c r="F227" s="148"/>
      <c r="G227" s="258"/>
      <c r="H227" s="282"/>
      <c r="I227" s="260"/>
      <c r="J227" s="260"/>
      <c r="K227" s="260"/>
      <c r="L227" s="150"/>
      <c r="M227" s="150"/>
      <c r="N227" s="260"/>
      <c r="O227" s="260"/>
    </row>
    <row r="228" spans="2:15">
      <c r="B228" s="146"/>
      <c r="C228" s="147"/>
      <c r="D228" s="147"/>
      <c r="E228" s="275"/>
      <c r="F228" s="148"/>
      <c r="G228" s="258"/>
      <c r="H228" s="282"/>
      <c r="I228" s="260"/>
      <c r="J228" s="260"/>
      <c r="K228" s="260"/>
      <c r="L228" s="150"/>
      <c r="M228" s="150"/>
      <c r="N228" s="260"/>
      <c r="O228" s="260"/>
    </row>
    <row r="229" spans="2:15">
      <c r="B229" s="146"/>
      <c r="C229" s="147"/>
      <c r="D229" s="147"/>
      <c r="E229" s="275"/>
      <c r="F229" s="148"/>
      <c r="G229" s="258"/>
      <c r="H229" s="282"/>
      <c r="I229" s="260"/>
      <c r="J229" s="260"/>
      <c r="K229" s="260"/>
      <c r="L229" s="150"/>
      <c r="M229" s="150"/>
      <c r="N229" s="260"/>
      <c r="O229" s="260"/>
    </row>
    <row r="230" spans="2:15">
      <c r="B230" s="146"/>
      <c r="C230" s="147"/>
      <c r="D230" s="147"/>
      <c r="E230" s="275"/>
      <c r="F230" s="148"/>
      <c r="G230" s="258"/>
      <c r="H230" s="282"/>
      <c r="I230" s="260"/>
      <c r="J230" s="260"/>
      <c r="K230" s="260"/>
      <c r="L230" s="150"/>
      <c r="M230" s="150"/>
      <c r="N230" s="260"/>
      <c r="O230" s="260"/>
    </row>
    <row r="231" spans="2:15">
      <c r="B231" s="146"/>
      <c r="C231" s="147"/>
      <c r="D231" s="147"/>
      <c r="E231" s="275"/>
      <c r="F231" s="148"/>
      <c r="G231" s="258"/>
      <c r="H231" s="282"/>
      <c r="I231" s="260"/>
      <c r="J231" s="260"/>
      <c r="K231" s="260"/>
      <c r="L231" s="150"/>
      <c r="M231" s="150"/>
      <c r="N231" s="260"/>
      <c r="O231" s="260"/>
    </row>
    <row r="232" spans="2:15">
      <c r="B232" s="146"/>
      <c r="C232" s="147"/>
      <c r="D232" s="147"/>
      <c r="E232" s="275"/>
      <c r="F232" s="148"/>
      <c r="G232" s="258"/>
      <c r="H232" s="282"/>
      <c r="I232" s="260"/>
      <c r="J232" s="260"/>
      <c r="K232" s="260"/>
      <c r="L232" s="150"/>
      <c r="M232" s="150"/>
      <c r="N232" s="260"/>
      <c r="O232" s="260"/>
    </row>
    <row r="233" spans="2:15">
      <c r="B233" s="146"/>
      <c r="C233" s="147"/>
      <c r="D233" s="147"/>
      <c r="E233" s="275"/>
      <c r="F233" s="148"/>
      <c r="G233" s="258"/>
      <c r="H233" s="282"/>
      <c r="I233" s="260"/>
      <c r="J233" s="260"/>
      <c r="K233" s="260"/>
      <c r="L233" s="150"/>
      <c r="M233" s="150"/>
      <c r="N233" s="260"/>
      <c r="O233" s="260"/>
    </row>
    <row r="234" spans="2:15">
      <c r="B234" s="146"/>
      <c r="C234" s="147"/>
      <c r="D234" s="147"/>
      <c r="E234" s="275"/>
      <c r="F234" s="148"/>
      <c r="G234" s="258"/>
      <c r="H234" s="282"/>
      <c r="I234" s="260"/>
      <c r="J234" s="260"/>
      <c r="K234" s="260"/>
      <c r="L234" s="150"/>
      <c r="M234" s="150"/>
      <c r="N234" s="260"/>
      <c r="O234" s="260"/>
    </row>
    <row r="235" spans="2:15">
      <c r="B235" s="146"/>
      <c r="C235" s="147"/>
      <c r="D235" s="147"/>
      <c r="E235" s="275"/>
      <c r="F235" s="148"/>
      <c r="G235" s="258"/>
      <c r="H235" s="282"/>
      <c r="I235" s="260"/>
      <c r="J235" s="260"/>
      <c r="K235" s="260"/>
      <c r="L235" s="150"/>
      <c r="M235" s="150"/>
      <c r="N235" s="260"/>
      <c r="O235" s="260"/>
    </row>
    <row r="236" spans="2:15">
      <c r="B236" s="146"/>
      <c r="C236" s="147"/>
      <c r="D236" s="147"/>
      <c r="E236" s="275"/>
      <c r="F236" s="148"/>
      <c r="G236" s="258"/>
      <c r="H236" s="282"/>
      <c r="I236" s="260"/>
      <c r="J236" s="260"/>
      <c r="K236" s="260"/>
      <c r="L236" s="150"/>
      <c r="M236" s="150"/>
      <c r="N236" s="260"/>
      <c r="O236" s="260"/>
    </row>
    <row r="237" spans="2:15">
      <c r="B237" s="146"/>
      <c r="C237" s="147"/>
      <c r="D237" s="147"/>
      <c r="E237" s="275"/>
      <c r="F237" s="148"/>
      <c r="G237" s="258"/>
      <c r="H237" s="282"/>
      <c r="I237" s="260"/>
      <c r="J237" s="260"/>
      <c r="K237" s="260"/>
      <c r="L237" s="150"/>
      <c r="M237" s="150"/>
      <c r="N237" s="260"/>
      <c r="O237" s="260"/>
    </row>
    <row r="238" spans="2:15">
      <c r="B238" s="146"/>
      <c r="C238" s="147"/>
      <c r="D238" s="147"/>
      <c r="E238" s="275"/>
      <c r="F238" s="148"/>
      <c r="G238" s="258"/>
      <c r="H238" s="282"/>
      <c r="I238" s="260"/>
      <c r="J238" s="260"/>
      <c r="K238" s="260"/>
      <c r="L238" s="150"/>
      <c r="M238" s="150"/>
      <c r="N238" s="260"/>
      <c r="O238" s="260"/>
    </row>
    <row r="239" spans="2:15">
      <c r="B239" s="146"/>
      <c r="C239" s="147"/>
      <c r="D239" s="147"/>
      <c r="E239" s="275"/>
      <c r="F239" s="148"/>
      <c r="G239" s="258"/>
      <c r="H239" s="282"/>
      <c r="I239" s="260"/>
      <c r="J239" s="260"/>
      <c r="K239" s="260"/>
      <c r="L239" s="150"/>
      <c r="M239" s="150"/>
      <c r="N239" s="260"/>
      <c r="O239" s="260"/>
    </row>
    <row r="240" spans="2:15">
      <c r="B240" s="146"/>
      <c r="C240" s="147"/>
      <c r="D240" s="147"/>
      <c r="E240" s="275"/>
      <c r="F240" s="148"/>
      <c r="G240" s="258"/>
      <c r="H240" s="282"/>
      <c r="I240" s="260"/>
      <c r="J240" s="260"/>
      <c r="K240" s="260"/>
      <c r="L240" s="150"/>
      <c r="M240" s="150"/>
      <c r="N240" s="260"/>
      <c r="O240" s="260"/>
    </row>
    <row r="241" spans="2:15">
      <c r="B241" s="146"/>
      <c r="C241" s="147"/>
      <c r="D241" s="147"/>
      <c r="E241" s="275"/>
      <c r="F241" s="148"/>
      <c r="G241" s="258"/>
      <c r="H241" s="282"/>
      <c r="I241" s="260"/>
      <c r="J241" s="260"/>
      <c r="K241" s="260"/>
      <c r="L241" s="150"/>
      <c r="M241" s="150"/>
      <c r="N241" s="260"/>
      <c r="O241" s="260"/>
    </row>
    <row r="242" spans="2:15">
      <c r="B242" s="146"/>
      <c r="C242" s="147"/>
      <c r="D242" s="147"/>
      <c r="E242" s="275"/>
      <c r="F242" s="148"/>
      <c r="G242" s="258"/>
      <c r="H242" s="282"/>
      <c r="I242" s="260"/>
      <c r="J242" s="260"/>
      <c r="K242" s="260"/>
      <c r="L242" s="150"/>
      <c r="M242" s="150"/>
      <c r="N242" s="260"/>
      <c r="O242" s="260"/>
    </row>
    <row r="243" spans="2:15">
      <c r="B243" s="146"/>
      <c r="C243" s="147"/>
      <c r="D243" s="147"/>
      <c r="E243" s="275"/>
      <c r="F243" s="148"/>
      <c r="G243" s="258"/>
      <c r="H243" s="282"/>
      <c r="I243" s="260"/>
      <c r="J243" s="260"/>
      <c r="K243" s="260"/>
      <c r="L243" s="150"/>
      <c r="M243" s="150"/>
      <c r="N243" s="260"/>
      <c r="O243" s="260"/>
    </row>
    <row r="244" spans="2:15">
      <c r="B244" s="146"/>
      <c r="C244" s="147"/>
      <c r="D244" s="147"/>
      <c r="E244" s="275"/>
      <c r="F244" s="148"/>
      <c r="G244" s="258"/>
      <c r="H244" s="282"/>
      <c r="I244" s="260"/>
      <c r="J244" s="260"/>
      <c r="K244" s="260"/>
      <c r="L244" s="150"/>
      <c r="M244" s="150"/>
      <c r="N244" s="260"/>
      <c r="O244" s="260"/>
    </row>
    <row r="245" spans="2:15">
      <c r="B245" s="146"/>
      <c r="C245" s="147"/>
      <c r="D245" s="147"/>
      <c r="E245" s="275"/>
      <c r="F245" s="148"/>
      <c r="G245" s="258"/>
      <c r="H245" s="282"/>
      <c r="I245" s="260"/>
      <c r="J245" s="260"/>
      <c r="K245" s="260"/>
      <c r="L245" s="150"/>
      <c r="M245" s="150"/>
      <c r="N245" s="260"/>
      <c r="O245" s="260"/>
    </row>
    <row r="246" spans="2:15">
      <c r="B246" s="146"/>
      <c r="C246" s="147"/>
      <c r="D246" s="147"/>
      <c r="E246" s="275"/>
      <c r="F246" s="148"/>
      <c r="G246" s="258"/>
      <c r="H246" s="282"/>
      <c r="I246" s="260"/>
      <c r="J246" s="260"/>
      <c r="K246" s="260"/>
      <c r="L246" s="150"/>
      <c r="M246" s="150"/>
      <c r="N246" s="260"/>
      <c r="O246" s="260"/>
    </row>
    <row r="247" spans="2:15">
      <c r="B247" s="146"/>
      <c r="C247" s="147"/>
      <c r="D247" s="147"/>
      <c r="E247" s="275"/>
      <c r="F247" s="148"/>
      <c r="G247" s="258"/>
      <c r="H247" s="282"/>
      <c r="I247" s="260"/>
      <c r="J247" s="260"/>
      <c r="K247" s="260"/>
      <c r="L247" s="150"/>
      <c r="M247" s="150"/>
      <c r="N247" s="260"/>
      <c r="O247" s="260"/>
    </row>
    <row r="248" spans="2:15">
      <c r="B248" s="146"/>
      <c r="C248" s="147"/>
      <c r="D248" s="147"/>
      <c r="E248" s="275"/>
      <c r="F248" s="148"/>
      <c r="G248" s="258"/>
      <c r="H248" s="282"/>
      <c r="I248" s="260"/>
      <c r="J248" s="260"/>
      <c r="K248" s="260"/>
      <c r="L248" s="150"/>
      <c r="M248" s="150"/>
      <c r="N248" s="260"/>
      <c r="O248" s="260"/>
    </row>
    <row r="249" spans="2:15">
      <c r="B249" s="146"/>
      <c r="C249" s="147"/>
      <c r="D249" s="147"/>
      <c r="E249" s="275"/>
      <c r="F249" s="148"/>
      <c r="G249" s="258"/>
      <c r="H249" s="282"/>
      <c r="I249" s="260"/>
      <c r="J249" s="260"/>
      <c r="K249" s="260"/>
      <c r="L249" s="150"/>
      <c r="M249" s="150"/>
      <c r="N249" s="260"/>
      <c r="O249" s="260"/>
    </row>
    <row r="250" spans="2:15">
      <c r="B250" s="146"/>
      <c r="C250" s="147"/>
      <c r="D250" s="147"/>
      <c r="E250" s="275"/>
      <c r="F250" s="148"/>
      <c r="G250" s="258"/>
      <c r="H250" s="282"/>
      <c r="I250" s="260"/>
      <c r="J250" s="260"/>
      <c r="K250" s="260"/>
      <c r="L250" s="150"/>
      <c r="M250" s="150"/>
      <c r="N250" s="260"/>
      <c r="O250" s="260"/>
    </row>
    <row r="251" spans="2:15">
      <c r="B251" s="146"/>
      <c r="C251" s="147"/>
      <c r="D251" s="147"/>
      <c r="E251" s="275"/>
      <c r="F251" s="148"/>
      <c r="G251" s="258"/>
      <c r="H251" s="282"/>
      <c r="I251" s="260"/>
      <c r="J251" s="260"/>
      <c r="K251" s="260"/>
      <c r="L251" s="150"/>
      <c r="M251" s="150"/>
      <c r="N251" s="260"/>
      <c r="O251" s="260"/>
    </row>
    <row r="252" spans="2:15">
      <c r="B252" s="146"/>
      <c r="C252" s="147"/>
      <c r="D252" s="147"/>
      <c r="E252" s="275"/>
      <c r="F252" s="148"/>
      <c r="G252" s="258"/>
      <c r="H252" s="282"/>
      <c r="I252" s="260"/>
      <c r="J252" s="260"/>
      <c r="K252" s="260"/>
      <c r="L252" s="150"/>
      <c r="M252" s="150"/>
      <c r="N252" s="260"/>
      <c r="O252" s="260"/>
    </row>
    <row r="253" spans="2:15">
      <c r="B253" s="146"/>
      <c r="C253" s="147"/>
      <c r="D253" s="147"/>
      <c r="E253" s="275"/>
      <c r="F253" s="148"/>
      <c r="G253" s="258"/>
      <c r="H253" s="282"/>
      <c r="I253" s="260"/>
      <c r="J253" s="260"/>
      <c r="K253" s="260"/>
      <c r="L253" s="150"/>
      <c r="M253" s="150"/>
      <c r="N253" s="260"/>
      <c r="O253" s="260"/>
    </row>
    <row r="254" spans="2:15">
      <c r="B254" s="146"/>
      <c r="C254" s="147"/>
      <c r="D254" s="147"/>
      <c r="E254" s="275"/>
      <c r="F254" s="148"/>
      <c r="G254" s="258"/>
      <c r="H254" s="282"/>
      <c r="I254" s="260"/>
      <c r="J254" s="260"/>
      <c r="K254" s="260"/>
      <c r="L254" s="150"/>
      <c r="M254" s="150"/>
      <c r="N254" s="260"/>
      <c r="O254" s="260"/>
    </row>
    <row r="255" spans="2:15">
      <c r="B255" s="146"/>
      <c r="C255" s="147"/>
      <c r="D255" s="147"/>
      <c r="E255" s="275"/>
      <c r="F255" s="148"/>
      <c r="G255" s="258"/>
      <c r="H255" s="282"/>
      <c r="I255" s="260"/>
      <c r="J255" s="260"/>
      <c r="K255" s="260"/>
      <c r="L255" s="150"/>
      <c r="M255" s="150"/>
      <c r="N255" s="260"/>
      <c r="O255" s="260"/>
    </row>
    <row r="256" spans="2:15">
      <c r="B256" s="146"/>
      <c r="C256" s="147"/>
      <c r="D256" s="147"/>
      <c r="E256" s="275"/>
      <c r="F256" s="148"/>
      <c r="G256" s="258"/>
      <c r="H256" s="282"/>
      <c r="I256" s="260"/>
      <c r="J256" s="260"/>
      <c r="K256" s="260"/>
      <c r="L256" s="150"/>
      <c r="M256" s="150"/>
      <c r="N256" s="260"/>
      <c r="O256" s="260"/>
    </row>
    <row r="257" spans="2:15">
      <c r="B257" s="146"/>
      <c r="C257" s="147"/>
      <c r="D257" s="147"/>
      <c r="E257" s="275"/>
      <c r="F257" s="148"/>
      <c r="G257" s="258"/>
      <c r="H257" s="282"/>
      <c r="I257" s="260"/>
      <c r="J257" s="260"/>
      <c r="K257" s="260"/>
      <c r="L257" s="150"/>
      <c r="M257" s="150"/>
      <c r="N257" s="260"/>
      <c r="O257" s="260"/>
    </row>
    <row r="258" spans="2:15">
      <c r="B258" s="146"/>
      <c r="C258" s="147"/>
      <c r="D258" s="147"/>
      <c r="E258" s="275"/>
      <c r="F258" s="148"/>
      <c r="G258" s="258"/>
      <c r="H258" s="282"/>
      <c r="I258" s="260"/>
      <c r="J258" s="260"/>
      <c r="K258" s="260"/>
      <c r="L258" s="150"/>
      <c r="M258" s="150"/>
      <c r="N258" s="260"/>
      <c r="O258" s="260"/>
    </row>
    <row r="259" spans="2:15">
      <c r="B259" s="146"/>
      <c r="C259" s="147"/>
      <c r="D259" s="147"/>
      <c r="E259" s="275"/>
      <c r="F259" s="148"/>
      <c r="G259" s="258"/>
      <c r="H259" s="282"/>
      <c r="I259" s="260"/>
      <c r="J259" s="260"/>
      <c r="K259" s="260"/>
      <c r="L259" s="150"/>
      <c r="M259" s="150"/>
      <c r="N259" s="260"/>
      <c r="O259" s="260"/>
    </row>
    <row r="260" spans="2:15">
      <c r="B260" s="146"/>
      <c r="C260" s="147"/>
      <c r="D260" s="147"/>
      <c r="E260" s="275"/>
      <c r="F260" s="148"/>
      <c r="G260" s="258"/>
      <c r="H260" s="282"/>
      <c r="I260" s="260"/>
      <c r="J260" s="260"/>
      <c r="K260" s="260"/>
      <c r="L260" s="150"/>
      <c r="M260" s="150"/>
      <c r="N260" s="260"/>
      <c r="O260" s="260"/>
    </row>
    <row r="261" spans="2:15">
      <c r="B261" s="146"/>
      <c r="C261" s="147"/>
      <c r="D261" s="147"/>
      <c r="E261" s="275"/>
      <c r="F261" s="148"/>
      <c r="G261" s="258"/>
      <c r="H261" s="282"/>
      <c r="I261" s="260"/>
      <c r="J261" s="260"/>
      <c r="K261" s="260"/>
      <c r="L261" s="150"/>
      <c r="M261" s="150"/>
      <c r="N261" s="260"/>
      <c r="O261" s="260"/>
    </row>
    <row r="262" spans="2:15">
      <c r="B262" s="146"/>
      <c r="C262" s="147"/>
      <c r="D262" s="147"/>
      <c r="E262" s="275"/>
      <c r="F262" s="148"/>
      <c r="G262" s="258"/>
      <c r="H262" s="282"/>
      <c r="I262" s="260"/>
      <c r="J262" s="260"/>
      <c r="K262" s="260"/>
      <c r="L262" s="150"/>
      <c r="M262" s="150"/>
      <c r="N262" s="260"/>
      <c r="O262" s="260"/>
    </row>
    <row r="263" spans="2:15">
      <c r="B263" s="146"/>
      <c r="C263" s="147"/>
      <c r="D263" s="147"/>
      <c r="E263" s="275"/>
      <c r="F263" s="148"/>
      <c r="G263" s="258"/>
      <c r="H263" s="282"/>
      <c r="I263" s="260"/>
      <c r="J263" s="260"/>
      <c r="K263" s="260"/>
      <c r="L263" s="150"/>
      <c r="M263" s="150"/>
      <c r="N263" s="260"/>
      <c r="O263" s="260"/>
    </row>
    <row r="264" spans="2:15">
      <c r="B264" s="146"/>
      <c r="C264" s="147"/>
      <c r="D264" s="147"/>
      <c r="E264" s="275"/>
      <c r="F264" s="148"/>
      <c r="G264" s="258"/>
      <c r="H264" s="282"/>
      <c r="I264" s="260"/>
      <c r="J264" s="260"/>
      <c r="K264" s="260"/>
      <c r="L264" s="150"/>
      <c r="M264" s="150"/>
      <c r="N264" s="260"/>
      <c r="O264" s="260"/>
    </row>
    <row r="265" spans="2:15">
      <c r="B265" s="146"/>
      <c r="C265" s="147"/>
      <c r="D265" s="147"/>
      <c r="E265" s="275"/>
      <c r="F265" s="148"/>
      <c r="G265" s="258"/>
      <c r="H265" s="282"/>
      <c r="I265" s="260"/>
      <c r="J265" s="260"/>
      <c r="K265" s="260"/>
      <c r="L265" s="150"/>
      <c r="M265" s="150"/>
      <c r="N265" s="260"/>
      <c r="O265" s="260"/>
    </row>
    <row r="266" spans="2:15">
      <c r="B266" s="146"/>
      <c r="C266" s="147"/>
      <c r="D266" s="147"/>
      <c r="E266" s="275"/>
      <c r="F266" s="148"/>
      <c r="G266" s="258"/>
      <c r="H266" s="282"/>
      <c r="I266" s="260"/>
      <c r="J266" s="260"/>
      <c r="K266" s="260"/>
      <c r="L266" s="150"/>
      <c r="M266" s="150"/>
      <c r="N266" s="260"/>
      <c r="O266" s="260"/>
    </row>
    <row r="267" spans="2:15">
      <c r="B267" s="146"/>
      <c r="C267" s="147"/>
      <c r="D267" s="147"/>
      <c r="E267" s="275"/>
      <c r="F267" s="148"/>
      <c r="G267" s="258"/>
      <c r="H267" s="282"/>
      <c r="I267" s="260"/>
      <c r="J267" s="260"/>
      <c r="K267" s="260"/>
      <c r="L267" s="150"/>
      <c r="M267" s="150"/>
      <c r="N267" s="260"/>
      <c r="O267" s="260"/>
    </row>
    <row r="268" spans="2:15">
      <c r="B268" s="146"/>
      <c r="C268" s="147"/>
      <c r="D268" s="147"/>
      <c r="E268" s="275"/>
      <c r="F268" s="148"/>
      <c r="G268" s="258"/>
      <c r="H268" s="282"/>
      <c r="I268" s="260"/>
      <c r="J268" s="260"/>
      <c r="K268" s="260"/>
      <c r="L268" s="150"/>
      <c r="M268" s="150"/>
      <c r="N268" s="260"/>
      <c r="O268" s="260"/>
    </row>
    <row r="269" spans="2:15">
      <c r="B269" s="146"/>
      <c r="C269" s="147"/>
      <c r="D269" s="147"/>
      <c r="E269" s="275"/>
      <c r="F269" s="148"/>
      <c r="G269" s="258"/>
      <c r="H269" s="282"/>
      <c r="I269" s="260"/>
      <c r="J269" s="260"/>
      <c r="K269" s="260"/>
      <c r="L269" s="150"/>
      <c r="M269" s="150"/>
      <c r="N269" s="260"/>
      <c r="O269" s="260"/>
    </row>
    <row r="270" spans="2:15">
      <c r="B270" s="146"/>
      <c r="C270" s="147"/>
      <c r="D270" s="147"/>
      <c r="E270" s="275"/>
      <c r="F270" s="148"/>
      <c r="G270" s="258"/>
      <c r="H270" s="282"/>
      <c r="I270" s="260"/>
      <c r="J270" s="260"/>
      <c r="K270" s="260"/>
      <c r="L270" s="150"/>
      <c r="M270" s="150"/>
      <c r="N270" s="260"/>
      <c r="O270" s="260"/>
    </row>
    <row r="271" spans="2:15">
      <c r="B271" s="146"/>
      <c r="C271" s="147"/>
      <c r="D271" s="147"/>
      <c r="E271" s="275"/>
      <c r="F271" s="148"/>
      <c r="G271" s="258"/>
      <c r="H271" s="282"/>
      <c r="I271" s="260"/>
      <c r="J271" s="260"/>
      <c r="K271" s="260"/>
      <c r="L271" s="150"/>
      <c r="M271" s="150"/>
      <c r="N271" s="260"/>
      <c r="O271" s="260"/>
    </row>
    <row r="272" spans="2:15">
      <c r="B272" s="146"/>
      <c r="C272" s="147"/>
      <c r="D272" s="147"/>
      <c r="E272" s="275"/>
      <c r="F272" s="148"/>
      <c r="G272" s="258"/>
      <c r="H272" s="282"/>
      <c r="I272" s="260"/>
      <c r="J272" s="260"/>
      <c r="K272" s="260"/>
      <c r="L272" s="150"/>
      <c r="M272" s="150"/>
      <c r="N272" s="260"/>
      <c r="O272" s="260"/>
    </row>
    <row r="273" spans="2:15">
      <c r="B273" s="146"/>
      <c r="C273" s="147"/>
      <c r="D273" s="147"/>
      <c r="E273" s="275"/>
      <c r="F273" s="148"/>
      <c r="G273" s="258"/>
      <c r="H273" s="282"/>
      <c r="I273" s="260"/>
      <c r="J273" s="260"/>
      <c r="K273" s="260"/>
      <c r="L273" s="150"/>
      <c r="M273" s="150"/>
      <c r="N273" s="260"/>
      <c r="O273" s="260"/>
    </row>
    <row r="274" spans="2:15">
      <c r="B274" s="146"/>
      <c r="C274" s="147"/>
      <c r="D274" s="147"/>
      <c r="E274" s="275"/>
      <c r="F274" s="148"/>
      <c r="G274" s="258"/>
      <c r="H274" s="282"/>
      <c r="I274" s="260"/>
      <c r="J274" s="260"/>
      <c r="K274" s="260"/>
      <c r="L274" s="150"/>
      <c r="M274" s="150"/>
      <c r="N274" s="260"/>
      <c r="O274" s="260"/>
    </row>
    <row r="275" spans="2:15">
      <c r="B275" s="146"/>
      <c r="C275" s="147"/>
      <c r="D275" s="147"/>
      <c r="E275" s="275"/>
      <c r="F275" s="148"/>
      <c r="G275" s="258"/>
      <c r="H275" s="282"/>
      <c r="I275" s="260"/>
      <c r="J275" s="260"/>
      <c r="K275" s="260"/>
      <c r="L275" s="150"/>
      <c r="M275" s="150"/>
      <c r="N275" s="260"/>
      <c r="O275" s="260"/>
    </row>
    <row r="276" spans="2:15">
      <c r="B276" s="146"/>
      <c r="C276" s="147"/>
      <c r="D276" s="147"/>
      <c r="E276" s="275"/>
      <c r="F276" s="148"/>
      <c r="G276" s="258"/>
      <c r="H276" s="282"/>
      <c r="I276" s="260"/>
      <c r="J276" s="260"/>
      <c r="K276" s="260"/>
      <c r="L276" s="150"/>
      <c r="M276" s="150"/>
      <c r="N276" s="260"/>
      <c r="O276" s="260"/>
    </row>
    <row r="277" spans="2:15">
      <c r="B277" s="146"/>
      <c r="C277" s="147"/>
      <c r="D277" s="147"/>
      <c r="E277" s="275"/>
      <c r="F277" s="148"/>
      <c r="G277" s="258"/>
      <c r="H277" s="282"/>
      <c r="I277" s="260"/>
      <c r="J277" s="260"/>
      <c r="K277" s="260"/>
      <c r="L277" s="150"/>
      <c r="M277" s="150"/>
      <c r="N277" s="260"/>
      <c r="O277" s="260"/>
    </row>
    <row r="278" spans="2:15">
      <c r="B278" s="146"/>
      <c r="C278" s="147"/>
      <c r="D278" s="147"/>
      <c r="E278" s="275"/>
      <c r="F278" s="148"/>
      <c r="G278" s="258"/>
      <c r="H278" s="282"/>
      <c r="I278" s="260"/>
      <c r="J278" s="260"/>
      <c r="K278" s="260"/>
      <c r="L278" s="150"/>
      <c r="M278" s="150"/>
      <c r="N278" s="260"/>
      <c r="O278" s="260"/>
    </row>
    <row r="279" spans="2:15">
      <c r="B279" s="146"/>
      <c r="C279" s="147"/>
      <c r="D279" s="147"/>
      <c r="E279" s="275"/>
      <c r="F279" s="148"/>
      <c r="G279" s="258"/>
      <c r="H279" s="282"/>
      <c r="I279" s="260"/>
      <c r="J279" s="260"/>
      <c r="K279" s="260"/>
      <c r="L279" s="150"/>
      <c r="M279" s="150"/>
      <c r="N279" s="260"/>
      <c r="O279" s="260"/>
    </row>
    <row r="280" spans="2:15">
      <c r="B280" s="146"/>
      <c r="C280" s="147"/>
      <c r="D280" s="147"/>
      <c r="E280" s="275"/>
      <c r="F280" s="148"/>
      <c r="G280" s="258"/>
      <c r="H280" s="282"/>
      <c r="I280" s="260"/>
      <c r="J280" s="260"/>
      <c r="K280" s="260"/>
      <c r="L280" s="150"/>
      <c r="M280" s="150"/>
      <c r="N280" s="260"/>
      <c r="O280" s="260"/>
    </row>
    <row r="281" spans="2:15">
      <c r="B281" s="146"/>
      <c r="C281" s="147"/>
      <c r="D281" s="147"/>
      <c r="E281" s="275"/>
      <c r="F281" s="148"/>
      <c r="G281" s="258"/>
      <c r="H281" s="282"/>
      <c r="I281" s="260"/>
      <c r="J281" s="260"/>
      <c r="K281" s="260"/>
      <c r="L281" s="150"/>
      <c r="M281" s="150"/>
      <c r="N281" s="260"/>
      <c r="O281" s="260"/>
    </row>
    <row r="282" spans="2:15">
      <c r="B282" s="146"/>
      <c r="C282" s="147"/>
      <c r="D282" s="147"/>
      <c r="E282" s="275"/>
      <c r="F282" s="148"/>
      <c r="G282" s="258"/>
      <c r="H282" s="282"/>
      <c r="I282" s="260"/>
      <c r="J282" s="260"/>
      <c r="K282" s="260"/>
      <c r="L282" s="150"/>
      <c r="M282" s="150"/>
      <c r="N282" s="260"/>
      <c r="O282" s="260"/>
    </row>
    <row r="283" spans="2:15">
      <c r="B283" s="146"/>
      <c r="C283" s="147"/>
      <c r="D283" s="147"/>
      <c r="E283" s="275"/>
      <c r="F283" s="148"/>
      <c r="G283" s="258"/>
      <c r="H283" s="282"/>
      <c r="I283" s="260"/>
      <c r="J283" s="260"/>
      <c r="K283" s="260"/>
      <c r="L283" s="150"/>
      <c r="M283" s="150"/>
      <c r="N283" s="260"/>
      <c r="O283" s="260"/>
    </row>
    <row r="284" spans="2:15">
      <c r="B284" s="146"/>
      <c r="C284" s="147"/>
      <c r="D284" s="147"/>
      <c r="E284" s="275"/>
      <c r="F284" s="148"/>
      <c r="G284" s="258"/>
      <c r="H284" s="282"/>
      <c r="I284" s="260"/>
      <c r="J284" s="260"/>
      <c r="K284" s="260"/>
      <c r="L284" s="150"/>
      <c r="M284" s="150"/>
      <c r="N284" s="260"/>
      <c r="O284" s="260"/>
    </row>
    <row r="285" spans="2:15">
      <c r="B285" s="146"/>
      <c r="C285" s="147"/>
      <c r="D285" s="147"/>
      <c r="E285" s="275"/>
      <c r="F285" s="148"/>
      <c r="G285" s="258"/>
      <c r="H285" s="282"/>
      <c r="I285" s="260"/>
      <c r="J285" s="260"/>
      <c r="K285" s="260"/>
      <c r="L285" s="150"/>
      <c r="M285" s="150"/>
      <c r="N285" s="260"/>
      <c r="O285" s="260"/>
    </row>
    <row r="286" spans="2:15">
      <c r="B286" s="146"/>
      <c r="C286" s="147"/>
      <c r="D286" s="147"/>
      <c r="E286" s="275"/>
      <c r="F286" s="148"/>
      <c r="G286" s="258"/>
      <c r="H286" s="282"/>
      <c r="I286" s="260"/>
      <c r="J286" s="260"/>
      <c r="K286" s="260"/>
      <c r="L286" s="150"/>
      <c r="M286" s="150"/>
      <c r="N286" s="260"/>
      <c r="O286" s="260"/>
    </row>
    <row r="287" spans="2:15">
      <c r="B287" s="146"/>
      <c r="C287" s="147"/>
      <c r="D287" s="147"/>
      <c r="E287" s="275"/>
      <c r="F287" s="148"/>
      <c r="G287" s="258"/>
      <c r="H287" s="282"/>
      <c r="I287" s="260"/>
      <c r="J287" s="260"/>
      <c r="K287" s="260"/>
      <c r="L287" s="150"/>
      <c r="M287" s="150"/>
      <c r="N287" s="260"/>
      <c r="O287" s="260"/>
    </row>
    <row r="288" spans="2:15">
      <c r="B288" s="146"/>
      <c r="C288" s="147"/>
      <c r="D288" s="147"/>
      <c r="E288" s="275"/>
      <c r="F288" s="148"/>
      <c r="G288" s="258"/>
      <c r="H288" s="282"/>
      <c r="I288" s="260"/>
      <c r="J288" s="260"/>
      <c r="K288" s="260"/>
      <c r="L288" s="150"/>
      <c r="M288" s="150"/>
      <c r="N288" s="260"/>
      <c r="O288" s="260"/>
    </row>
    <row r="289" spans="2:15">
      <c r="B289" s="146"/>
      <c r="C289" s="147"/>
      <c r="D289" s="147"/>
      <c r="E289" s="275"/>
      <c r="F289" s="148"/>
      <c r="G289" s="258"/>
      <c r="H289" s="282"/>
      <c r="I289" s="260"/>
      <c r="J289" s="260"/>
      <c r="K289" s="260"/>
      <c r="L289" s="150"/>
      <c r="M289" s="150"/>
      <c r="N289" s="260"/>
      <c r="O289" s="260"/>
    </row>
    <row r="290" spans="2:15">
      <c r="B290" s="146"/>
      <c r="C290" s="147"/>
      <c r="D290" s="147"/>
      <c r="E290" s="275"/>
      <c r="F290" s="148"/>
      <c r="G290" s="258"/>
      <c r="H290" s="282"/>
      <c r="I290" s="260"/>
      <c r="J290" s="260"/>
      <c r="K290" s="260"/>
      <c r="L290" s="150"/>
      <c r="M290" s="150"/>
      <c r="N290" s="260"/>
      <c r="O290" s="260"/>
    </row>
    <row r="291" spans="2:15">
      <c r="B291" s="146"/>
      <c r="C291" s="147"/>
      <c r="D291" s="147"/>
      <c r="E291" s="275"/>
      <c r="F291" s="148"/>
      <c r="G291" s="258"/>
      <c r="H291" s="282"/>
      <c r="I291" s="260"/>
      <c r="J291" s="260"/>
      <c r="K291" s="260"/>
      <c r="L291" s="150"/>
      <c r="M291" s="150"/>
      <c r="N291" s="260"/>
      <c r="O291" s="260"/>
    </row>
    <row r="292" spans="2:15">
      <c r="B292" s="146"/>
      <c r="C292" s="147"/>
      <c r="D292" s="147"/>
      <c r="E292" s="275"/>
      <c r="F292" s="148"/>
      <c r="G292" s="258"/>
      <c r="H292" s="282"/>
      <c r="I292" s="260"/>
      <c r="J292" s="260"/>
      <c r="K292" s="260"/>
      <c r="L292" s="150"/>
      <c r="M292" s="150"/>
      <c r="N292" s="260"/>
      <c r="O292" s="260"/>
    </row>
    <row r="293" spans="2:15">
      <c r="B293" s="146"/>
      <c r="C293" s="147"/>
      <c r="D293" s="147"/>
      <c r="E293" s="275"/>
      <c r="F293" s="148"/>
      <c r="G293" s="258"/>
      <c r="H293" s="282"/>
      <c r="I293" s="260"/>
      <c r="J293" s="260"/>
      <c r="K293" s="260"/>
      <c r="L293" s="150"/>
      <c r="M293" s="150"/>
      <c r="N293" s="260"/>
      <c r="O293" s="260"/>
    </row>
    <row r="294" spans="2:15">
      <c r="B294" s="146"/>
      <c r="C294" s="147"/>
      <c r="D294" s="147"/>
      <c r="E294" s="275"/>
      <c r="F294" s="148"/>
      <c r="G294" s="258"/>
      <c r="H294" s="282"/>
      <c r="I294" s="260"/>
      <c r="J294" s="260"/>
      <c r="K294" s="260"/>
      <c r="L294" s="150"/>
      <c r="M294" s="150"/>
      <c r="N294" s="260"/>
      <c r="O294" s="260"/>
    </row>
    <row r="295" spans="2:15">
      <c r="B295" s="146"/>
      <c r="C295" s="147"/>
      <c r="D295" s="147"/>
      <c r="E295" s="275"/>
      <c r="F295" s="148"/>
      <c r="G295" s="258"/>
      <c r="H295" s="282"/>
      <c r="I295" s="260"/>
      <c r="J295" s="260"/>
      <c r="K295" s="260"/>
      <c r="L295" s="150"/>
      <c r="M295" s="150"/>
      <c r="N295" s="260"/>
      <c r="O295" s="260"/>
    </row>
    <row r="296" spans="2:15">
      <c r="B296" s="146"/>
      <c r="C296" s="147"/>
      <c r="D296" s="147"/>
      <c r="E296" s="275"/>
      <c r="F296" s="148"/>
      <c r="G296" s="258"/>
      <c r="H296" s="282"/>
      <c r="I296" s="260"/>
      <c r="J296" s="260"/>
      <c r="K296" s="260"/>
      <c r="L296" s="150"/>
      <c r="M296" s="150"/>
      <c r="N296" s="260"/>
      <c r="O296" s="260"/>
    </row>
    <row r="297" spans="2:15">
      <c r="B297" s="146"/>
      <c r="C297" s="147"/>
      <c r="D297" s="147"/>
      <c r="E297" s="275"/>
      <c r="F297" s="148"/>
      <c r="G297" s="258"/>
      <c r="H297" s="282"/>
      <c r="I297" s="260"/>
      <c r="J297" s="260"/>
      <c r="K297" s="260"/>
      <c r="L297" s="150"/>
      <c r="M297" s="150"/>
      <c r="N297" s="260"/>
      <c r="O297" s="260"/>
    </row>
    <row r="298" spans="2:15">
      <c r="B298" s="146"/>
      <c r="C298" s="147"/>
      <c r="D298" s="147"/>
      <c r="E298" s="275"/>
      <c r="F298" s="148"/>
      <c r="G298" s="258"/>
      <c r="H298" s="282"/>
      <c r="I298" s="260"/>
      <c r="J298" s="260"/>
      <c r="K298" s="260"/>
      <c r="L298" s="150"/>
      <c r="M298" s="150"/>
      <c r="N298" s="260"/>
      <c r="O298" s="260"/>
    </row>
    <row r="299" spans="2:15">
      <c r="B299" s="146"/>
      <c r="C299" s="147"/>
      <c r="D299" s="147"/>
      <c r="E299" s="275"/>
      <c r="F299" s="148"/>
      <c r="G299" s="258"/>
      <c r="H299" s="282"/>
      <c r="I299" s="260"/>
      <c r="J299" s="260"/>
      <c r="K299" s="260"/>
      <c r="L299" s="150"/>
      <c r="M299" s="150"/>
      <c r="N299" s="260"/>
      <c r="O299" s="260"/>
    </row>
    <row r="300" spans="2:15">
      <c r="B300" s="146"/>
      <c r="C300" s="147"/>
      <c r="D300" s="147"/>
      <c r="E300" s="275"/>
      <c r="F300" s="148"/>
      <c r="G300" s="258"/>
      <c r="H300" s="282"/>
      <c r="I300" s="260"/>
      <c r="J300" s="260"/>
      <c r="K300" s="260"/>
      <c r="L300" s="150"/>
      <c r="M300" s="150"/>
      <c r="N300" s="260"/>
      <c r="O300" s="260"/>
    </row>
    <row r="301" spans="2:15">
      <c r="B301" s="146"/>
      <c r="C301" s="147"/>
      <c r="D301" s="147"/>
      <c r="E301" s="275"/>
      <c r="F301" s="148"/>
      <c r="G301" s="258"/>
      <c r="H301" s="282"/>
      <c r="I301" s="260"/>
      <c r="J301" s="260"/>
      <c r="K301" s="260"/>
      <c r="L301" s="150"/>
      <c r="M301" s="150"/>
      <c r="N301" s="260"/>
      <c r="O301" s="260"/>
    </row>
    <row r="302" spans="2:15">
      <c r="B302" s="146"/>
      <c r="C302" s="147"/>
      <c r="D302" s="147"/>
      <c r="E302" s="275"/>
      <c r="F302" s="148"/>
      <c r="G302" s="258"/>
      <c r="H302" s="282"/>
      <c r="I302" s="260"/>
      <c r="J302" s="260"/>
      <c r="K302" s="260"/>
      <c r="L302" s="150"/>
      <c r="M302" s="150"/>
      <c r="N302" s="260"/>
      <c r="O302" s="260"/>
    </row>
    <row r="303" spans="2:15">
      <c r="B303" s="146"/>
      <c r="C303" s="147"/>
      <c r="D303" s="147"/>
      <c r="E303" s="275"/>
      <c r="F303" s="148"/>
      <c r="G303" s="258"/>
      <c r="H303" s="282"/>
      <c r="I303" s="260"/>
      <c r="J303" s="260"/>
      <c r="K303" s="260"/>
      <c r="L303" s="150"/>
      <c r="M303" s="150"/>
      <c r="N303" s="260"/>
      <c r="O303" s="260"/>
    </row>
    <row r="304" spans="2:15">
      <c r="B304" s="146"/>
      <c r="C304" s="147"/>
      <c r="D304" s="147"/>
      <c r="E304" s="275"/>
      <c r="F304" s="148"/>
      <c r="G304" s="258"/>
      <c r="H304" s="282"/>
      <c r="I304" s="260"/>
      <c r="J304" s="260"/>
      <c r="K304" s="260"/>
      <c r="L304" s="150"/>
      <c r="M304" s="150"/>
      <c r="N304" s="260"/>
      <c r="O304" s="260"/>
    </row>
    <row r="305" spans="2:15">
      <c r="B305" s="146"/>
      <c r="C305" s="147"/>
      <c r="D305" s="147"/>
      <c r="E305" s="275"/>
      <c r="F305" s="148"/>
      <c r="G305" s="258"/>
      <c r="H305" s="282"/>
      <c r="I305" s="260"/>
      <c r="J305" s="260"/>
      <c r="K305" s="260"/>
      <c r="L305" s="150"/>
      <c r="M305" s="150"/>
      <c r="N305" s="260"/>
      <c r="O305" s="260"/>
    </row>
    <row r="306" spans="2:15">
      <c r="B306" s="146"/>
      <c r="C306" s="147"/>
      <c r="D306" s="147"/>
      <c r="E306" s="275"/>
      <c r="F306" s="148"/>
      <c r="G306" s="258"/>
      <c r="H306" s="282"/>
      <c r="I306" s="260"/>
      <c r="J306" s="260"/>
      <c r="K306" s="260"/>
      <c r="L306" s="150"/>
      <c r="M306" s="150"/>
      <c r="N306" s="260"/>
      <c r="O306" s="260"/>
    </row>
    <row r="307" spans="2:15">
      <c r="B307" s="146"/>
      <c r="C307" s="147"/>
      <c r="D307" s="147"/>
      <c r="E307" s="275"/>
      <c r="F307" s="148"/>
      <c r="G307" s="258"/>
      <c r="H307" s="282"/>
      <c r="I307" s="260"/>
      <c r="J307" s="260"/>
      <c r="K307" s="260"/>
      <c r="L307" s="150"/>
      <c r="M307" s="150"/>
      <c r="N307" s="260"/>
      <c r="O307" s="260"/>
    </row>
    <row r="308" spans="2:15">
      <c r="B308" s="146"/>
      <c r="C308" s="147"/>
      <c r="D308" s="147"/>
      <c r="E308" s="275"/>
      <c r="F308" s="148"/>
      <c r="G308" s="258"/>
      <c r="H308" s="282"/>
      <c r="I308" s="260"/>
      <c r="J308" s="260"/>
      <c r="K308" s="260"/>
      <c r="L308" s="150"/>
      <c r="M308" s="150"/>
      <c r="N308" s="260"/>
      <c r="O308" s="260"/>
    </row>
    <row r="309" spans="2:15">
      <c r="B309" s="146"/>
      <c r="C309" s="147"/>
      <c r="D309" s="147"/>
      <c r="E309" s="275"/>
      <c r="F309" s="148"/>
      <c r="G309" s="258"/>
      <c r="H309" s="282"/>
      <c r="I309" s="260"/>
      <c r="J309" s="260"/>
      <c r="K309" s="260"/>
      <c r="L309" s="150"/>
      <c r="M309" s="150"/>
      <c r="N309" s="260"/>
      <c r="O309" s="260"/>
    </row>
    <row r="310" spans="2:15">
      <c r="B310" s="146"/>
      <c r="C310" s="147"/>
      <c r="D310" s="147"/>
      <c r="E310" s="275"/>
      <c r="F310" s="148"/>
      <c r="G310" s="258"/>
      <c r="H310" s="282"/>
      <c r="I310" s="260"/>
      <c r="J310" s="260"/>
      <c r="K310" s="260"/>
      <c r="L310" s="150"/>
      <c r="M310" s="150"/>
      <c r="N310" s="260"/>
      <c r="O310" s="260"/>
    </row>
    <row r="311" spans="2:15">
      <c r="B311" s="146"/>
      <c r="C311" s="147"/>
      <c r="D311" s="147"/>
      <c r="E311" s="275"/>
      <c r="F311" s="148"/>
      <c r="G311" s="258"/>
      <c r="H311" s="282"/>
      <c r="I311" s="260"/>
      <c r="J311" s="260"/>
      <c r="K311" s="260"/>
      <c r="L311" s="150"/>
      <c r="M311" s="150"/>
      <c r="N311" s="260"/>
      <c r="O311" s="260"/>
    </row>
    <row r="312" spans="2:15">
      <c r="B312" s="146"/>
      <c r="C312" s="147"/>
      <c r="D312" s="147"/>
      <c r="E312" s="275"/>
      <c r="F312" s="148"/>
      <c r="G312" s="258"/>
      <c r="H312" s="282"/>
      <c r="I312" s="260"/>
      <c r="J312" s="260"/>
      <c r="K312" s="260"/>
      <c r="L312" s="150"/>
      <c r="M312" s="150"/>
      <c r="N312" s="260"/>
      <c r="O312" s="260"/>
    </row>
    <row r="313" spans="2:15">
      <c r="B313" s="146"/>
      <c r="C313" s="147"/>
      <c r="D313" s="147"/>
      <c r="E313" s="275"/>
      <c r="F313" s="148"/>
      <c r="G313" s="258"/>
      <c r="H313" s="282"/>
      <c r="I313" s="260"/>
      <c r="J313" s="260"/>
      <c r="K313" s="260"/>
      <c r="L313" s="150"/>
      <c r="M313" s="150"/>
      <c r="N313" s="260"/>
      <c r="O313" s="260"/>
    </row>
    <row r="314" spans="2:15">
      <c r="B314" s="146"/>
      <c r="C314" s="147"/>
      <c r="D314" s="147"/>
      <c r="E314" s="275"/>
      <c r="F314" s="148"/>
      <c r="G314" s="258"/>
      <c r="H314" s="282"/>
      <c r="I314" s="260"/>
      <c r="J314" s="260"/>
      <c r="K314" s="260"/>
      <c r="L314" s="150"/>
      <c r="M314" s="150"/>
      <c r="N314" s="260"/>
      <c r="O314" s="260"/>
    </row>
    <row r="315" spans="2:15">
      <c r="B315" s="146"/>
      <c r="C315" s="147"/>
      <c r="D315" s="147"/>
      <c r="E315" s="275"/>
      <c r="F315" s="148"/>
      <c r="G315" s="258"/>
      <c r="H315" s="282"/>
      <c r="I315" s="260"/>
      <c r="J315" s="260"/>
      <c r="K315" s="260"/>
      <c r="L315" s="150"/>
      <c r="M315" s="150"/>
      <c r="N315" s="260"/>
      <c r="O315" s="260"/>
    </row>
    <row r="316" spans="2:15">
      <c r="B316" s="146"/>
      <c r="C316" s="147"/>
      <c r="D316" s="147"/>
      <c r="E316" s="275"/>
      <c r="F316" s="148"/>
      <c r="G316" s="258"/>
      <c r="H316" s="282"/>
      <c r="I316" s="260"/>
      <c r="J316" s="260"/>
      <c r="K316" s="260"/>
      <c r="L316" s="150"/>
      <c r="M316" s="150"/>
      <c r="N316" s="260"/>
      <c r="O316" s="260"/>
    </row>
    <row r="317" spans="2:15">
      <c r="B317" s="146"/>
      <c r="C317" s="147"/>
      <c r="D317" s="147"/>
      <c r="E317" s="275"/>
      <c r="F317" s="148"/>
      <c r="G317" s="258"/>
      <c r="H317" s="282"/>
      <c r="I317" s="260"/>
      <c r="J317" s="260"/>
      <c r="K317" s="260"/>
      <c r="L317" s="150"/>
      <c r="M317" s="150"/>
      <c r="N317" s="260"/>
      <c r="O317" s="260"/>
    </row>
    <row r="318" spans="2:15">
      <c r="B318" s="146"/>
      <c r="C318" s="147"/>
      <c r="D318" s="147"/>
      <c r="E318" s="275"/>
      <c r="F318" s="148"/>
      <c r="G318" s="258"/>
      <c r="H318" s="282"/>
      <c r="I318" s="260"/>
      <c r="J318" s="260"/>
      <c r="K318" s="260"/>
      <c r="L318" s="150"/>
      <c r="M318" s="150"/>
      <c r="N318" s="260"/>
      <c r="O318" s="260"/>
    </row>
    <row r="319" spans="2:15">
      <c r="B319" s="146"/>
      <c r="C319" s="147"/>
      <c r="D319" s="147"/>
      <c r="E319" s="275"/>
      <c r="F319" s="148"/>
      <c r="G319" s="258"/>
      <c r="H319" s="282"/>
      <c r="I319" s="260"/>
      <c r="J319" s="260"/>
      <c r="K319" s="260"/>
      <c r="L319" s="150"/>
      <c r="M319" s="150"/>
      <c r="N319" s="260"/>
      <c r="O319" s="260"/>
    </row>
    <row r="320" spans="2:15">
      <c r="B320" s="146"/>
      <c r="C320" s="147"/>
      <c r="D320" s="147"/>
      <c r="E320" s="275"/>
      <c r="F320" s="148"/>
      <c r="G320" s="258"/>
      <c r="H320" s="282"/>
      <c r="I320" s="260"/>
      <c r="J320" s="260"/>
      <c r="K320" s="260"/>
      <c r="L320" s="150"/>
      <c r="M320" s="150"/>
      <c r="N320" s="260"/>
      <c r="O320" s="260"/>
    </row>
    <row r="321" spans="2:15">
      <c r="B321" s="146"/>
      <c r="C321" s="147"/>
      <c r="D321" s="147"/>
      <c r="E321" s="275"/>
      <c r="F321" s="148"/>
      <c r="G321" s="258"/>
      <c r="H321" s="282"/>
      <c r="I321" s="260"/>
      <c r="J321" s="260"/>
      <c r="K321" s="260"/>
      <c r="L321" s="150"/>
      <c r="M321" s="150"/>
      <c r="N321" s="260"/>
      <c r="O321" s="260"/>
    </row>
    <row r="322" spans="2:15">
      <c r="B322" s="146"/>
      <c r="C322" s="147"/>
      <c r="D322" s="147"/>
      <c r="E322" s="275"/>
      <c r="F322" s="148"/>
      <c r="G322" s="258"/>
      <c r="H322" s="282"/>
      <c r="I322" s="260"/>
      <c r="J322" s="260"/>
      <c r="K322" s="260"/>
      <c r="L322" s="150"/>
      <c r="M322" s="150"/>
      <c r="N322" s="260"/>
      <c r="O322" s="260"/>
    </row>
    <row r="323" spans="2:15">
      <c r="B323" s="146"/>
      <c r="C323" s="147"/>
      <c r="D323" s="147"/>
      <c r="E323" s="275"/>
      <c r="F323" s="148"/>
      <c r="G323" s="258"/>
      <c r="H323" s="282"/>
      <c r="I323" s="260"/>
      <c r="J323" s="260"/>
      <c r="K323" s="260"/>
      <c r="L323" s="150"/>
      <c r="M323" s="150"/>
      <c r="N323" s="260"/>
      <c r="O323" s="260"/>
    </row>
    <row r="324" spans="2:15">
      <c r="B324" s="146"/>
      <c r="C324" s="147"/>
      <c r="D324" s="147"/>
      <c r="E324" s="275"/>
      <c r="F324" s="148"/>
      <c r="G324" s="258"/>
      <c r="H324" s="282"/>
      <c r="I324" s="260"/>
      <c r="J324" s="260"/>
      <c r="K324" s="260"/>
      <c r="L324" s="150"/>
      <c r="M324" s="150"/>
      <c r="N324" s="260"/>
      <c r="O324" s="260"/>
    </row>
    <row r="325" spans="2:15">
      <c r="B325" s="146"/>
      <c r="C325" s="147"/>
      <c r="D325" s="147"/>
      <c r="E325" s="275"/>
      <c r="F325" s="148"/>
      <c r="G325" s="258"/>
      <c r="H325" s="282"/>
      <c r="I325" s="260"/>
      <c r="J325" s="260"/>
      <c r="K325" s="260"/>
      <c r="L325" s="150"/>
      <c r="M325" s="150"/>
      <c r="N325" s="260"/>
      <c r="O325" s="260"/>
    </row>
    <row r="326" spans="2:15">
      <c r="B326" s="146"/>
      <c r="C326" s="147"/>
      <c r="D326" s="147"/>
      <c r="E326" s="275"/>
      <c r="F326" s="148"/>
      <c r="G326" s="258"/>
      <c r="H326" s="282"/>
      <c r="I326" s="260"/>
      <c r="J326" s="260"/>
      <c r="K326" s="260"/>
      <c r="L326" s="150"/>
      <c r="M326" s="150"/>
      <c r="N326" s="260"/>
      <c r="O326" s="260"/>
    </row>
    <row r="327" spans="2:15">
      <c r="B327" s="146"/>
      <c r="C327" s="147"/>
      <c r="D327" s="147"/>
      <c r="E327" s="275"/>
      <c r="F327" s="148"/>
      <c r="G327" s="258"/>
      <c r="H327" s="282"/>
      <c r="I327" s="260"/>
      <c r="J327" s="260"/>
      <c r="K327" s="260"/>
      <c r="L327" s="150"/>
      <c r="M327" s="150"/>
      <c r="N327" s="260"/>
      <c r="O327" s="260"/>
    </row>
    <row r="328" spans="2:15">
      <c r="B328" s="146"/>
      <c r="C328" s="147"/>
      <c r="D328" s="147"/>
      <c r="E328" s="275"/>
      <c r="F328" s="148"/>
      <c r="G328" s="258"/>
      <c r="H328" s="282"/>
      <c r="I328" s="260"/>
      <c r="J328" s="260"/>
      <c r="K328" s="260"/>
      <c r="L328" s="150"/>
      <c r="M328" s="150"/>
      <c r="N328" s="260"/>
      <c r="O328" s="260"/>
    </row>
    <row r="329" spans="2:15">
      <c r="B329" s="146"/>
      <c r="C329" s="147"/>
      <c r="D329" s="147"/>
      <c r="E329" s="275"/>
      <c r="F329" s="148"/>
      <c r="G329" s="258"/>
      <c r="H329" s="282"/>
      <c r="I329" s="260"/>
      <c r="J329" s="260"/>
      <c r="K329" s="260"/>
      <c r="L329" s="150"/>
      <c r="M329" s="150"/>
      <c r="N329" s="260"/>
      <c r="O329" s="260"/>
    </row>
    <row r="330" spans="2:15">
      <c r="B330" s="146"/>
      <c r="C330" s="147"/>
      <c r="D330" s="147"/>
      <c r="E330" s="275"/>
      <c r="F330" s="148"/>
      <c r="G330" s="258"/>
      <c r="H330" s="282"/>
      <c r="I330" s="260"/>
      <c r="J330" s="260"/>
      <c r="K330" s="260"/>
      <c r="L330" s="150"/>
      <c r="M330" s="150"/>
      <c r="N330" s="260"/>
      <c r="O330" s="260"/>
    </row>
    <row r="331" spans="2:15">
      <c r="B331" s="146"/>
      <c r="C331" s="147"/>
      <c r="D331" s="147"/>
      <c r="E331" s="275"/>
      <c r="F331" s="148"/>
      <c r="G331" s="258"/>
      <c r="H331" s="282"/>
      <c r="I331" s="260"/>
      <c r="J331" s="260"/>
      <c r="K331" s="260"/>
      <c r="L331" s="150"/>
      <c r="M331" s="150"/>
      <c r="N331" s="260"/>
      <c r="O331" s="260"/>
    </row>
    <row r="332" spans="2:15">
      <c r="B332" s="146"/>
      <c r="C332" s="147"/>
      <c r="D332" s="147"/>
      <c r="E332" s="275"/>
      <c r="F332" s="148"/>
      <c r="G332" s="258"/>
      <c r="H332" s="282"/>
      <c r="I332" s="260"/>
      <c r="J332" s="260"/>
      <c r="K332" s="260"/>
      <c r="L332" s="150"/>
      <c r="M332" s="150"/>
      <c r="N332" s="260"/>
      <c r="O332" s="260"/>
    </row>
    <row r="333" spans="2:15">
      <c r="B333" s="146"/>
      <c r="C333" s="147"/>
      <c r="D333" s="147"/>
      <c r="E333" s="275"/>
      <c r="F333" s="148"/>
      <c r="G333" s="258"/>
      <c r="H333" s="282"/>
      <c r="I333" s="260"/>
      <c r="J333" s="260"/>
      <c r="K333" s="260"/>
      <c r="L333" s="150"/>
      <c r="M333" s="150"/>
      <c r="N333" s="260"/>
      <c r="O333" s="260"/>
    </row>
    <row r="334" spans="2:15">
      <c r="B334" s="146"/>
      <c r="C334" s="147"/>
      <c r="D334" s="147"/>
      <c r="E334" s="275"/>
      <c r="F334" s="148"/>
      <c r="G334" s="258"/>
      <c r="H334" s="282"/>
      <c r="I334" s="260"/>
      <c r="J334" s="260"/>
      <c r="K334" s="260"/>
      <c r="L334" s="150"/>
      <c r="M334" s="150"/>
      <c r="N334" s="260"/>
      <c r="O334" s="260"/>
    </row>
    <row r="335" spans="2:15">
      <c r="B335" s="146"/>
      <c r="C335" s="147"/>
      <c r="D335" s="147"/>
      <c r="E335" s="275"/>
      <c r="F335" s="148"/>
      <c r="G335" s="258"/>
      <c r="H335" s="282"/>
      <c r="I335" s="260"/>
      <c r="J335" s="260"/>
      <c r="K335" s="260"/>
      <c r="L335" s="150"/>
      <c r="M335" s="150"/>
      <c r="N335" s="260"/>
      <c r="O335" s="260"/>
    </row>
    <row r="336" spans="2:15">
      <c r="B336" s="146"/>
      <c r="C336" s="147"/>
      <c r="D336" s="147"/>
      <c r="E336" s="275"/>
      <c r="F336" s="148"/>
      <c r="G336" s="258"/>
      <c r="H336" s="282"/>
      <c r="I336" s="260"/>
      <c r="J336" s="260"/>
      <c r="K336" s="260"/>
      <c r="L336" s="150"/>
      <c r="M336" s="150"/>
      <c r="N336" s="260"/>
      <c r="O336" s="260"/>
    </row>
    <row r="337" spans="2:15">
      <c r="B337" s="146"/>
      <c r="C337" s="147"/>
      <c r="D337" s="147"/>
      <c r="E337" s="275"/>
      <c r="F337" s="148"/>
      <c r="G337" s="258"/>
      <c r="H337" s="282"/>
      <c r="I337" s="260"/>
      <c r="J337" s="260"/>
      <c r="K337" s="260"/>
      <c r="L337" s="150"/>
      <c r="M337" s="150"/>
      <c r="N337" s="260"/>
      <c r="O337" s="260"/>
    </row>
    <row r="338" spans="2:15">
      <c r="B338" s="146"/>
      <c r="C338" s="147"/>
      <c r="D338" s="147"/>
      <c r="E338" s="275"/>
      <c r="F338" s="148"/>
      <c r="G338" s="258"/>
      <c r="H338" s="282"/>
      <c r="I338" s="260"/>
      <c r="J338" s="260"/>
      <c r="K338" s="260"/>
      <c r="L338" s="150"/>
      <c r="M338" s="150"/>
      <c r="N338" s="260"/>
      <c r="O338" s="260"/>
    </row>
    <row r="339" spans="2:15">
      <c r="B339" s="146"/>
      <c r="C339" s="147"/>
      <c r="D339" s="147"/>
      <c r="E339" s="275"/>
      <c r="F339" s="148"/>
      <c r="G339" s="258"/>
      <c r="H339" s="282"/>
      <c r="I339" s="260"/>
      <c r="J339" s="260"/>
      <c r="K339" s="260"/>
      <c r="L339" s="150"/>
      <c r="M339" s="150"/>
      <c r="N339" s="260"/>
      <c r="O339" s="260"/>
    </row>
    <row r="340" spans="2:15">
      <c r="B340" s="146"/>
      <c r="C340" s="147"/>
      <c r="D340" s="147"/>
      <c r="E340" s="275"/>
      <c r="F340" s="148"/>
      <c r="G340" s="258"/>
      <c r="H340" s="282"/>
      <c r="I340" s="260"/>
      <c r="J340" s="260"/>
      <c r="K340" s="260"/>
      <c r="L340" s="150"/>
      <c r="M340" s="150"/>
      <c r="N340" s="260"/>
      <c r="O340" s="260"/>
    </row>
    <row r="341" spans="2:15">
      <c r="B341" s="146"/>
      <c r="C341" s="147"/>
      <c r="D341" s="147"/>
      <c r="E341" s="275"/>
      <c r="F341" s="148"/>
      <c r="G341" s="258"/>
      <c r="H341" s="282"/>
      <c r="I341" s="260"/>
      <c r="J341" s="260"/>
      <c r="K341" s="260"/>
      <c r="L341" s="150"/>
      <c r="M341" s="150"/>
      <c r="N341" s="260"/>
      <c r="O341" s="260"/>
    </row>
    <row r="342" spans="2:15">
      <c r="B342" s="146"/>
      <c r="C342" s="147"/>
      <c r="D342" s="147"/>
      <c r="E342" s="275"/>
      <c r="F342" s="148"/>
      <c r="G342" s="258"/>
      <c r="H342" s="282"/>
      <c r="I342" s="260"/>
      <c r="J342" s="260"/>
      <c r="K342" s="260"/>
      <c r="L342" s="150"/>
      <c r="M342" s="150"/>
      <c r="N342" s="260"/>
      <c r="O342" s="260"/>
    </row>
    <row r="343" spans="2:15">
      <c r="B343" s="146"/>
      <c r="C343" s="147"/>
      <c r="D343" s="147"/>
      <c r="E343" s="275"/>
      <c r="F343" s="148"/>
      <c r="G343" s="258"/>
      <c r="H343" s="282"/>
      <c r="I343" s="260"/>
      <c r="J343" s="260"/>
      <c r="K343" s="260"/>
      <c r="L343" s="150"/>
      <c r="M343" s="150"/>
      <c r="N343" s="260"/>
      <c r="O343" s="260"/>
    </row>
    <row r="344" spans="2:15">
      <c r="B344" s="146"/>
      <c r="C344" s="147"/>
      <c r="D344" s="147"/>
      <c r="E344" s="275"/>
      <c r="F344" s="148"/>
      <c r="G344" s="258"/>
      <c r="H344" s="282"/>
      <c r="I344" s="260"/>
      <c r="J344" s="260"/>
      <c r="K344" s="260"/>
      <c r="L344" s="150"/>
      <c r="M344" s="150"/>
      <c r="N344" s="260"/>
      <c r="O344" s="260"/>
    </row>
    <row r="345" spans="2:15">
      <c r="B345" s="146"/>
      <c r="C345" s="147"/>
      <c r="D345" s="147"/>
      <c r="E345" s="275"/>
      <c r="F345" s="148"/>
      <c r="G345" s="258"/>
      <c r="H345" s="282"/>
      <c r="I345" s="260"/>
      <c r="J345" s="260"/>
      <c r="K345" s="260"/>
      <c r="L345" s="150"/>
      <c r="M345" s="150"/>
      <c r="N345" s="260"/>
      <c r="O345" s="260"/>
    </row>
    <row r="346" spans="2:15">
      <c r="B346" s="146"/>
      <c r="C346" s="147"/>
      <c r="D346" s="147"/>
      <c r="E346" s="275"/>
      <c r="F346" s="148"/>
      <c r="G346" s="258"/>
      <c r="H346" s="282"/>
      <c r="I346" s="260"/>
      <c r="J346" s="260"/>
      <c r="K346" s="260"/>
      <c r="L346" s="150"/>
      <c r="M346" s="150"/>
      <c r="N346" s="260"/>
      <c r="O346" s="260"/>
    </row>
    <row r="347" spans="2:15">
      <c r="B347" s="146"/>
      <c r="C347" s="147"/>
      <c r="D347" s="147"/>
      <c r="E347" s="275"/>
      <c r="F347" s="148"/>
      <c r="G347" s="258"/>
      <c r="H347" s="282"/>
      <c r="I347" s="260"/>
      <c r="J347" s="260"/>
      <c r="K347" s="260"/>
      <c r="L347" s="150"/>
      <c r="M347" s="150"/>
      <c r="N347" s="260"/>
      <c r="O347" s="260"/>
    </row>
    <row r="348" spans="2:15">
      <c r="B348" s="146"/>
      <c r="C348" s="147"/>
      <c r="D348" s="147"/>
      <c r="E348" s="275"/>
      <c r="F348" s="148"/>
      <c r="G348" s="258"/>
      <c r="H348" s="282"/>
      <c r="I348" s="260"/>
      <c r="J348" s="260"/>
      <c r="K348" s="260"/>
      <c r="L348" s="150"/>
      <c r="M348" s="150"/>
      <c r="N348" s="260"/>
      <c r="O348" s="260"/>
    </row>
    <row r="349" spans="2:15">
      <c r="B349" s="146"/>
      <c r="C349" s="147"/>
      <c r="D349" s="147"/>
      <c r="E349" s="275"/>
      <c r="F349" s="148"/>
      <c r="G349" s="258"/>
      <c r="H349" s="282"/>
      <c r="I349" s="260"/>
      <c r="J349" s="260"/>
      <c r="K349" s="260"/>
      <c r="L349" s="150"/>
      <c r="M349" s="150"/>
      <c r="N349" s="260"/>
      <c r="O349" s="260"/>
    </row>
    <row r="350" spans="2:15">
      <c r="B350" s="146"/>
      <c r="C350" s="147"/>
      <c r="D350" s="147"/>
      <c r="E350" s="275"/>
      <c r="F350" s="148"/>
      <c r="G350" s="258"/>
      <c r="H350" s="282"/>
      <c r="I350" s="260"/>
      <c r="J350" s="260"/>
      <c r="K350" s="260"/>
      <c r="L350" s="150"/>
      <c r="M350" s="150"/>
      <c r="N350" s="260"/>
      <c r="O350" s="260"/>
    </row>
    <row r="351" spans="2:15">
      <c r="B351" s="146"/>
      <c r="C351" s="147"/>
      <c r="D351" s="147"/>
      <c r="E351" s="275"/>
      <c r="F351" s="148"/>
      <c r="G351" s="258"/>
      <c r="H351" s="282"/>
      <c r="I351" s="260"/>
      <c r="J351" s="260"/>
      <c r="K351" s="260"/>
      <c r="L351" s="150"/>
      <c r="M351" s="150"/>
      <c r="N351" s="260"/>
      <c r="O351" s="260"/>
    </row>
    <row r="352" spans="2:15">
      <c r="B352" s="146"/>
      <c r="C352" s="147"/>
      <c r="D352" s="147"/>
      <c r="E352" s="275"/>
      <c r="F352" s="148"/>
      <c r="G352" s="258"/>
      <c r="H352" s="282"/>
      <c r="I352" s="260"/>
      <c r="J352" s="260"/>
      <c r="K352" s="260"/>
      <c r="L352" s="150"/>
      <c r="M352" s="150"/>
      <c r="N352" s="260"/>
      <c r="O352" s="260"/>
    </row>
    <row r="353" spans="2:15">
      <c r="B353" s="146"/>
      <c r="C353" s="147"/>
      <c r="D353" s="147"/>
      <c r="E353" s="275"/>
      <c r="F353" s="148"/>
      <c r="G353" s="258"/>
      <c r="H353" s="282"/>
      <c r="I353" s="260"/>
      <c r="J353" s="260"/>
      <c r="K353" s="260"/>
      <c r="L353" s="150"/>
      <c r="M353" s="150"/>
      <c r="N353" s="260"/>
      <c r="O353" s="260"/>
    </row>
    <row r="354" spans="2:15">
      <c r="B354" s="146"/>
      <c r="C354" s="147"/>
      <c r="D354" s="147"/>
      <c r="E354" s="275"/>
      <c r="F354" s="148"/>
      <c r="G354" s="258"/>
      <c r="H354" s="282"/>
      <c r="I354" s="260"/>
      <c r="J354" s="260"/>
      <c r="K354" s="260"/>
      <c r="L354" s="150"/>
      <c r="M354" s="150"/>
      <c r="N354" s="260"/>
      <c r="O354" s="260"/>
    </row>
    <row r="355" spans="2:15">
      <c r="B355" s="146"/>
      <c r="C355" s="147"/>
      <c r="D355" s="147"/>
      <c r="E355" s="275"/>
      <c r="F355" s="148"/>
      <c r="G355" s="258"/>
      <c r="H355" s="282"/>
      <c r="I355" s="260"/>
      <c r="J355" s="260"/>
      <c r="K355" s="260"/>
      <c r="L355" s="150"/>
      <c r="M355" s="150"/>
      <c r="N355" s="260"/>
      <c r="O355" s="260"/>
    </row>
    <row r="356" spans="2:15">
      <c r="B356" s="146"/>
      <c r="C356" s="147"/>
      <c r="D356" s="147"/>
      <c r="E356" s="275"/>
      <c r="F356" s="148"/>
      <c r="G356" s="258"/>
      <c r="H356" s="282"/>
      <c r="I356" s="260"/>
      <c r="J356" s="260"/>
      <c r="K356" s="260"/>
      <c r="L356" s="150"/>
      <c r="M356" s="150"/>
      <c r="N356" s="260"/>
      <c r="O356" s="260"/>
    </row>
    <row r="357" spans="2:15">
      <c r="B357" s="146"/>
      <c r="C357" s="147"/>
      <c r="D357" s="147"/>
      <c r="E357" s="275"/>
      <c r="F357" s="148"/>
      <c r="G357" s="258"/>
      <c r="H357" s="282"/>
      <c r="I357" s="260"/>
      <c r="J357" s="260"/>
      <c r="K357" s="260"/>
      <c r="L357" s="150"/>
      <c r="M357" s="150"/>
      <c r="N357" s="260"/>
      <c r="O357" s="260"/>
    </row>
    <row r="358" spans="2:15">
      <c r="B358" s="146"/>
      <c r="C358" s="147"/>
      <c r="D358" s="147"/>
      <c r="E358" s="275"/>
      <c r="F358" s="148"/>
      <c r="G358" s="258"/>
      <c r="H358" s="282"/>
      <c r="I358" s="260"/>
      <c r="J358" s="260"/>
      <c r="K358" s="260"/>
      <c r="L358" s="150"/>
      <c r="M358" s="150"/>
      <c r="N358" s="260"/>
      <c r="O358" s="260"/>
    </row>
    <row r="359" spans="2:15">
      <c r="B359" s="146"/>
      <c r="C359" s="147"/>
      <c r="D359" s="147"/>
      <c r="E359" s="275"/>
      <c r="F359" s="148"/>
      <c r="G359" s="258"/>
      <c r="H359" s="282"/>
      <c r="I359" s="260"/>
      <c r="J359" s="260"/>
      <c r="K359" s="260"/>
      <c r="L359" s="150"/>
      <c r="M359" s="150"/>
      <c r="N359" s="260"/>
      <c r="O359" s="260"/>
    </row>
    <row r="360" spans="2:15">
      <c r="B360" s="146"/>
      <c r="C360" s="147"/>
      <c r="D360" s="147"/>
      <c r="E360" s="275"/>
      <c r="F360" s="148"/>
      <c r="G360" s="258"/>
      <c r="H360" s="282"/>
      <c r="I360" s="260"/>
      <c r="J360" s="260"/>
      <c r="K360" s="260"/>
      <c r="L360" s="150"/>
      <c r="M360" s="150"/>
      <c r="N360" s="260"/>
      <c r="O360" s="260"/>
    </row>
    <row r="361" spans="2:15">
      <c r="B361" s="146"/>
      <c r="C361" s="147"/>
      <c r="D361" s="147"/>
      <c r="E361" s="275"/>
      <c r="F361" s="148"/>
      <c r="G361" s="258"/>
      <c r="H361" s="282"/>
      <c r="I361" s="260"/>
      <c r="J361" s="260"/>
      <c r="K361" s="260"/>
      <c r="L361" s="150"/>
      <c r="M361" s="150"/>
      <c r="N361" s="260"/>
      <c r="O361" s="260"/>
    </row>
    <row r="362" spans="2:15">
      <c r="B362" s="146"/>
      <c r="C362" s="147"/>
      <c r="D362" s="147"/>
      <c r="E362" s="275"/>
      <c r="F362" s="148"/>
      <c r="G362" s="258"/>
      <c r="H362" s="282"/>
      <c r="I362" s="260"/>
      <c r="J362" s="260"/>
      <c r="K362" s="260"/>
      <c r="L362" s="150"/>
      <c r="M362" s="150"/>
      <c r="N362" s="260"/>
      <c r="O362" s="260"/>
    </row>
    <row r="363" spans="2:15">
      <c r="B363" s="146"/>
      <c r="C363" s="147"/>
      <c r="D363" s="147"/>
      <c r="E363" s="275"/>
      <c r="F363" s="148"/>
      <c r="G363" s="258"/>
      <c r="H363" s="282"/>
      <c r="I363" s="260"/>
      <c r="J363" s="260"/>
      <c r="K363" s="260"/>
      <c r="L363" s="150"/>
      <c r="M363" s="150"/>
      <c r="N363" s="260"/>
      <c r="O363" s="260"/>
    </row>
    <row r="364" spans="2:15">
      <c r="B364" s="146"/>
      <c r="C364" s="147"/>
      <c r="D364" s="147"/>
      <c r="E364" s="275"/>
      <c r="F364" s="148"/>
      <c r="G364" s="258"/>
      <c r="H364" s="282"/>
      <c r="I364" s="260"/>
      <c r="J364" s="260"/>
      <c r="K364" s="260"/>
      <c r="L364" s="150"/>
      <c r="M364" s="150"/>
      <c r="N364" s="260"/>
      <c r="O364" s="260"/>
    </row>
    <row r="365" spans="2:15">
      <c r="B365" s="146"/>
      <c r="C365" s="147"/>
      <c r="D365" s="147"/>
      <c r="E365" s="275"/>
      <c r="F365" s="148"/>
      <c r="G365" s="258"/>
      <c r="H365" s="282"/>
      <c r="I365" s="260"/>
      <c r="J365" s="260"/>
      <c r="K365" s="260"/>
      <c r="L365" s="150"/>
      <c r="M365" s="150"/>
      <c r="N365" s="260"/>
      <c r="O365" s="260"/>
    </row>
    <row r="366" spans="2:15">
      <c r="B366" s="146"/>
      <c r="C366" s="147"/>
      <c r="D366" s="147"/>
      <c r="E366" s="275"/>
      <c r="F366" s="148"/>
      <c r="G366" s="258"/>
      <c r="H366" s="282"/>
      <c r="I366" s="260"/>
      <c r="J366" s="260"/>
      <c r="K366" s="260"/>
      <c r="L366" s="150"/>
      <c r="M366" s="150"/>
      <c r="N366" s="260"/>
      <c r="O366" s="260"/>
    </row>
    <row r="367" spans="2:15">
      <c r="B367" s="146"/>
      <c r="C367" s="147"/>
      <c r="D367" s="147"/>
      <c r="E367" s="275"/>
      <c r="F367" s="148"/>
      <c r="G367" s="258"/>
      <c r="H367" s="282"/>
      <c r="I367" s="260"/>
      <c r="J367" s="260"/>
      <c r="K367" s="260"/>
      <c r="L367" s="150"/>
      <c r="M367" s="150"/>
      <c r="N367" s="260"/>
      <c r="O367" s="260"/>
    </row>
    <row r="368" spans="2:15">
      <c r="B368" s="146"/>
      <c r="C368" s="147"/>
      <c r="D368" s="147"/>
      <c r="E368" s="275"/>
      <c r="F368" s="148"/>
      <c r="G368" s="258"/>
      <c r="H368" s="282"/>
      <c r="I368" s="260"/>
      <c r="J368" s="260"/>
      <c r="K368" s="260"/>
      <c r="L368" s="150"/>
      <c r="M368" s="150"/>
      <c r="N368" s="260"/>
      <c r="O368" s="260"/>
    </row>
    <row r="369" spans="2:15">
      <c r="B369" s="146"/>
      <c r="C369" s="147"/>
      <c r="D369" s="147"/>
      <c r="E369" s="275"/>
      <c r="F369" s="148"/>
      <c r="G369" s="258"/>
      <c r="H369" s="282"/>
      <c r="I369" s="260"/>
      <c r="J369" s="260"/>
      <c r="K369" s="260"/>
      <c r="L369" s="150"/>
      <c r="M369" s="150"/>
      <c r="N369" s="260"/>
      <c r="O369" s="260"/>
    </row>
    <row r="370" spans="2:15">
      <c r="B370" s="146"/>
      <c r="C370" s="147"/>
      <c r="D370" s="147"/>
      <c r="E370" s="275"/>
      <c r="F370" s="148"/>
      <c r="G370" s="258"/>
      <c r="H370" s="282"/>
      <c r="I370" s="260"/>
      <c r="J370" s="260"/>
      <c r="K370" s="260"/>
      <c r="L370" s="150"/>
      <c r="M370" s="150"/>
      <c r="N370" s="260"/>
      <c r="O370" s="260"/>
    </row>
    <row r="371" spans="2:15">
      <c r="B371" s="146"/>
      <c r="C371" s="147"/>
      <c r="D371" s="147"/>
      <c r="E371" s="275"/>
      <c r="F371" s="148"/>
      <c r="G371" s="258"/>
      <c r="H371" s="282"/>
      <c r="I371" s="260"/>
      <c r="J371" s="260"/>
      <c r="K371" s="260"/>
      <c r="L371" s="150"/>
      <c r="M371" s="150"/>
      <c r="N371" s="260"/>
      <c r="O371" s="260"/>
    </row>
    <row r="372" spans="2:15">
      <c r="B372" s="146"/>
      <c r="C372" s="147"/>
      <c r="D372" s="147"/>
      <c r="E372" s="275"/>
      <c r="F372" s="148"/>
      <c r="G372" s="258"/>
      <c r="H372" s="282"/>
      <c r="I372" s="260"/>
      <c r="J372" s="260"/>
      <c r="K372" s="260"/>
      <c r="L372" s="150"/>
      <c r="M372" s="150"/>
      <c r="N372" s="260"/>
      <c r="O372" s="260"/>
    </row>
    <row r="373" spans="2:15">
      <c r="B373" s="146"/>
      <c r="C373" s="147"/>
      <c r="D373" s="147"/>
      <c r="E373" s="275"/>
      <c r="F373" s="148"/>
      <c r="G373" s="258"/>
      <c r="H373" s="282"/>
      <c r="I373" s="260"/>
      <c r="J373" s="260"/>
      <c r="K373" s="260"/>
      <c r="L373" s="150"/>
      <c r="M373" s="150"/>
      <c r="N373" s="260"/>
      <c r="O373" s="260"/>
    </row>
    <row r="374" spans="2:15">
      <c r="B374" s="146"/>
      <c r="C374" s="147"/>
      <c r="D374" s="147"/>
      <c r="E374" s="275"/>
      <c r="F374" s="148"/>
      <c r="G374" s="258"/>
      <c r="H374" s="282"/>
      <c r="I374" s="260"/>
      <c r="J374" s="260"/>
      <c r="K374" s="260"/>
      <c r="L374" s="150"/>
      <c r="M374" s="150"/>
      <c r="N374" s="260"/>
      <c r="O374" s="260"/>
    </row>
    <row r="375" spans="2:15">
      <c r="B375" s="146"/>
      <c r="C375" s="147"/>
      <c r="D375" s="147"/>
      <c r="E375" s="275"/>
      <c r="F375" s="148"/>
      <c r="G375" s="258"/>
      <c r="H375" s="282"/>
      <c r="I375" s="260"/>
      <c r="J375" s="260"/>
      <c r="K375" s="260"/>
      <c r="L375" s="150"/>
      <c r="M375" s="150"/>
      <c r="N375" s="260"/>
      <c r="O375" s="260"/>
    </row>
    <row r="376" spans="2:15">
      <c r="B376" s="146"/>
      <c r="C376" s="147"/>
      <c r="D376" s="147"/>
      <c r="E376" s="275"/>
      <c r="F376" s="148"/>
      <c r="G376" s="258"/>
      <c r="H376" s="282"/>
      <c r="I376" s="260"/>
      <c r="J376" s="260"/>
      <c r="K376" s="260"/>
      <c r="L376" s="150"/>
      <c r="M376" s="150"/>
      <c r="N376" s="260"/>
      <c r="O376" s="260"/>
    </row>
    <row r="377" spans="2:15">
      <c r="B377" s="146"/>
      <c r="C377" s="147"/>
      <c r="D377" s="147"/>
      <c r="E377" s="275"/>
      <c r="F377" s="148"/>
      <c r="G377" s="258"/>
      <c r="H377" s="282"/>
      <c r="I377" s="260"/>
      <c r="J377" s="260"/>
      <c r="K377" s="260"/>
      <c r="L377" s="150"/>
      <c r="M377" s="150"/>
      <c r="N377" s="260"/>
      <c r="O377" s="260"/>
    </row>
    <row r="378" spans="2:15">
      <c r="B378" s="146"/>
      <c r="C378" s="147"/>
      <c r="D378" s="147"/>
      <c r="E378" s="275"/>
      <c r="F378" s="148"/>
      <c r="G378" s="258"/>
      <c r="H378" s="282"/>
      <c r="I378" s="260"/>
      <c r="J378" s="260"/>
      <c r="K378" s="260"/>
      <c r="L378" s="150"/>
      <c r="M378" s="150"/>
      <c r="N378" s="260"/>
      <c r="O378" s="260"/>
    </row>
    <row r="379" spans="2:15">
      <c r="B379" s="146"/>
      <c r="C379" s="147"/>
      <c r="D379" s="147"/>
      <c r="E379" s="275"/>
      <c r="F379" s="148"/>
      <c r="G379" s="258"/>
      <c r="H379" s="282"/>
      <c r="I379" s="260"/>
      <c r="J379" s="260"/>
      <c r="K379" s="260"/>
      <c r="L379" s="150"/>
      <c r="M379" s="150"/>
      <c r="N379" s="260"/>
      <c r="O379" s="260"/>
    </row>
    <row r="380" spans="2:15">
      <c r="B380" s="146"/>
      <c r="C380" s="147"/>
      <c r="D380" s="147"/>
      <c r="E380" s="275"/>
      <c r="F380" s="148"/>
      <c r="G380" s="258"/>
      <c r="H380" s="282"/>
      <c r="I380" s="260"/>
      <c r="J380" s="260"/>
      <c r="K380" s="260"/>
      <c r="L380" s="150"/>
      <c r="M380" s="150"/>
      <c r="N380" s="260"/>
      <c r="O380" s="260"/>
    </row>
    <row r="381" spans="2:15">
      <c r="B381" s="146"/>
      <c r="C381" s="147"/>
      <c r="D381" s="147"/>
      <c r="E381" s="275"/>
      <c r="F381" s="148"/>
      <c r="G381" s="258"/>
      <c r="H381" s="282"/>
      <c r="I381" s="260"/>
      <c r="J381" s="260"/>
      <c r="K381" s="260"/>
      <c r="L381" s="150"/>
      <c r="M381" s="150"/>
      <c r="N381" s="260"/>
      <c r="O381" s="260"/>
    </row>
    <row r="382" spans="2:15">
      <c r="B382" s="146"/>
      <c r="C382" s="147"/>
      <c r="D382" s="147"/>
      <c r="E382" s="275"/>
      <c r="F382" s="148"/>
      <c r="G382" s="258"/>
      <c r="H382" s="282"/>
      <c r="I382" s="260"/>
      <c r="J382" s="260"/>
      <c r="K382" s="260"/>
      <c r="L382" s="150"/>
      <c r="M382" s="150"/>
      <c r="N382" s="260"/>
      <c r="O382" s="260"/>
    </row>
    <row r="383" spans="2:15">
      <c r="B383" s="146"/>
      <c r="C383" s="147"/>
      <c r="D383" s="147"/>
      <c r="E383" s="275"/>
      <c r="F383" s="148"/>
      <c r="G383" s="258"/>
      <c r="H383" s="282"/>
      <c r="I383" s="260"/>
      <c r="J383" s="260"/>
      <c r="K383" s="260"/>
      <c r="L383" s="150"/>
      <c r="M383" s="150"/>
      <c r="N383" s="260"/>
      <c r="O383" s="260"/>
    </row>
    <row r="384" spans="2:15">
      <c r="B384" s="146"/>
      <c r="C384" s="147"/>
      <c r="D384" s="147"/>
      <c r="E384" s="275"/>
      <c r="F384" s="148"/>
      <c r="G384" s="258"/>
      <c r="H384" s="282"/>
      <c r="I384" s="260"/>
      <c r="J384" s="260"/>
      <c r="K384" s="260"/>
      <c r="L384" s="150"/>
      <c r="M384" s="150"/>
      <c r="N384" s="260"/>
      <c r="O384" s="260"/>
    </row>
    <row r="385" spans="2:15">
      <c r="B385" s="146"/>
      <c r="C385" s="147"/>
      <c r="D385" s="147"/>
      <c r="E385" s="275"/>
      <c r="F385" s="148"/>
      <c r="G385" s="258"/>
      <c r="H385" s="282"/>
      <c r="I385" s="260"/>
      <c r="J385" s="260"/>
      <c r="K385" s="260"/>
      <c r="L385" s="150"/>
      <c r="M385" s="150"/>
      <c r="N385" s="260"/>
      <c r="O385" s="260"/>
    </row>
    <row r="386" spans="2:15">
      <c r="B386" s="146"/>
      <c r="C386" s="147"/>
      <c r="D386" s="147"/>
      <c r="E386" s="275"/>
      <c r="F386" s="148"/>
      <c r="G386" s="258"/>
      <c r="H386" s="282"/>
      <c r="I386" s="260"/>
      <c r="J386" s="260"/>
      <c r="K386" s="260"/>
      <c r="L386" s="150"/>
      <c r="M386" s="150"/>
      <c r="N386" s="260"/>
      <c r="O386" s="260"/>
    </row>
    <row r="387" spans="2:15">
      <c r="B387" s="146"/>
      <c r="C387" s="147"/>
      <c r="D387" s="147"/>
      <c r="E387" s="275"/>
      <c r="F387" s="148"/>
      <c r="G387" s="258"/>
      <c r="H387" s="282"/>
      <c r="I387" s="260"/>
      <c r="J387" s="260"/>
      <c r="K387" s="260"/>
      <c r="L387" s="150"/>
      <c r="M387" s="150"/>
      <c r="N387" s="260"/>
      <c r="O387" s="260"/>
    </row>
    <row r="388" spans="2:15">
      <c r="B388" s="146"/>
      <c r="C388" s="147"/>
      <c r="D388" s="147"/>
      <c r="E388" s="275"/>
      <c r="F388" s="148"/>
      <c r="G388" s="258"/>
      <c r="H388" s="282"/>
      <c r="I388" s="260"/>
      <c r="J388" s="260"/>
      <c r="K388" s="260"/>
      <c r="L388" s="150"/>
      <c r="M388" s="150"/>
      <c r="N388" s="260"/>
      <c r="O388" s="260"/>
    </row>
    <row r="389" spans="2:15">
      <c r="B389" s="146"/>
      <c r="C389" s="147"/>
      <c r="D389" s="147"/>
      <c r="E389" s="275"/>
      <c r="F389" s="148"/>
      <c r="G389" s="258"/>
      <c r="H389" s="282"/>
      <c r="I389" s="260"/>
      <c r="J389" s="260"/>
      <c r="K389" s="260"/>
      <c r="L389" s="150"/>
      <c r="M389" s="150"/>
      <c r="N389" s="260"/>
      <c r="O389" s="260"/>
    </row>
    <row r="390" spans="2:15">
      <c r="B390" s="146"/>
      <c r="C390" s="147"/>
      <c r="D390" s="147"/>
      <c r="E390" s="275"/>
      <c r="F390" s="148"/>
      <c r="G390" s="258"/>
      <c r="H390" s="282"/>
      <c r="I390" s="260"/>
      <c r="J390" s="260"/>
      <c r="K390" s="260"/>
      <c r="L390" s="150"/>
      <c r="M390" s="150"/>
      <c r="N390" s="260"/>
      <c r="O390" s="260"/>
    </row>
    <row r="391" spans="2:15">
      <c r="B391" s="146"/>
      <c r="C391" s="147"/>
      <c r="D391" s="147"/>
      <c r="E391" s="275"/>
      <c r="F391" s="148"/>
      <c r="G391" s="258"/>
      <c r="H391" s="282"/>
      <c r="I391" s="260"/>
      <c r="J391" s="260"/>
      <c r="K391" s="260"/>
      <c r="L391" s="150"/>
      <c r="M391" s="150"/>
      <c r="N391" s="260"/>
      <c r="O391" s="260"/>
    </row>
    <row r="392" spans="2:15">
      <c r="B392" s="146"/>
      <c r="C392" s="147"/>
      <c r="D392" s="147"/>
      <c r="E392" s="275"/>
      <c r="F392" s="148"/>
      <c r="G392" s="258"/>
      <c r="H392" s="282"/>
      <c r="I392" s="260"/>
      <c r="J392" s="260"/>
      <c r="K392" s="260"/>
      <c r="L392" s="150"/>
      <c r="M392" s="150"/>
      <c r="N392" s="260"/>
      <c r="O392" s="260"/>
    </row>
    <row r="393" spans="2:15">
      <c r="B393" s="146"/>
      <c r="C393" s="147"/>
      <c r="D393" s="147"/>
      <c r="E393" s="275"/>
      <c r="F393" s="148"/>
      <c r="G393" s="258"/>
      <c r="H393" s="282"/>
      <c r="I393" s="260"/>
      <c r="J393" s="260"/>
      <c r="K393" s="260"/>
      <c r="L393" s="150"/>
      <c r="M393" s="150"/>
      <c r="N393" s="260"/>
      <c r="O393" s="260"/>
    </row>
    <row r="394" spans="2:15">
      <c r="B394" s="146"/>
      <c r="C394" s="147"/>
      <c r="D394" s="147"/>
      <c r="E394" s="275"/>
      <c r="F394" s="148"/>
      <c r="G394" s="258"/>
      <c r="H394" s="282"/>
      <c r="I394" s="260"/>
      <c r="J394" s="260"/>
      <c r="K394" s="260"/>
      <c r="L394" s="150"/>
      <c r="M394" s="150"/>
      <c r="N394" s="260"/>
      <c r="O394" s="260"/>
    </row>
    <row r="395" spans="2:15">
      <c r="B395" s="146"/>
      <c r="C395" s="147"/>
      <c r="D395" s="147"/>
      <c r="E395" s="275"/>
      <c r="F395" s="148"/>
      <c r="G395" s="258"/>
      <c r="H395" s="282"/>
      <c r="I395" s="260"/>
      <c r="J395" s="260"/>
      <c r="K395" s="260"/>
      <c r="L395" s="150"/>
      <c r="M395" s="150"/>
      <c r="N395" s="260"/>
      <c r="O395" s="260"/>
    </row>
    <row r="396" spans="2:15">
      <c r="B396" s="146"/>
      <c r="C396" s="147"/>
      <c r="D396" s="147"/>
      <c r="E396" s="275"/>
      <c r="F396" s="148"/>
      <c r="G396" s="258"/>
      <c r="H396" s="282"/>
      <c r="I396" s="260"/>
      <c r="J396" s="260"/>
      <c r="K396" s="260"/>
      <c r="L396" s="150"/>
      <c r="M396" s="150"/>
      <c r="N396" s="260"/>
      <c r="O396" s="260"/>
    </row>
    <row r="397" spans="2:15">
      <c r="B397" s="146"/>
      <c r="C397" s="147"/>
      <c r="D397" s="147"/>
      <c r="E397" s="275"/>
      <c r="F397" s="148"/>
      <c r="G397" s="258"/>
      <c r="H397" s="282"/>
      <c r="I397" s="260"/>
      <c r="J397" s="260"/>
      <c r="K397" s="260"/>
      <c r="L397" s="150"/>
      <c r="M397" s="150"/>
      <c r="N397" s="260"/>
      <c r="O397" s="260"/>
    </row>
    <row r="398" spans="2:15">
      <c r="B398" s="146"/>
      <c r="C398" s="147"/>
      <c r="D398" s="147"/>
      <c r="E398" s="275"/>
      <c r="F398" s="148"/>
      <c r="G398" s="258"/>
      <c r="H398" s="282"/>
      <c r="I398" s="260"/>
      <c r="J398" s="260"/>
      <c r="K398" s="260"/>
      <c r="L398" s="150"/>
      <c r="M398" s="150"/>
      <c r="N398" s="260"/>
      <c r="O398" s="260"/>
    </row>
    <row r="399" spans="2:15">
      <c r="B399" s="146"/>
      <c r="C399" s="147"/>
      <c r="D399" s="147"/>
      <c r="E399" s="275"/>
      <c r="F399" s="148"/>
      <c r="G399" s="258"/>
      <c r="H399" s="282"/>
      <c r="I399" s="260"/>
      <c r="J399" s="260"/>
      <c r="K399" s="260"/>
      <c r="L399" s="150"/>
      <c r="M399" s="150"/>
      <c r="N399" s="260"/>
      <c r="O399" s="260"/>
    </row>
    <row r="400" spans="2:15">
      <c r="B400" s="146"/>
      <c r="C400" s="147"/>
      <c r="D400" s="147"/>
      <c r="E400" s="275"/>
      <c r="F400" s="148"/>
      <c r="G400" s="258"/>
      <c r="H400" s="282"/>
      <c r="I400" s="260"/>
      <c r="J400" s="260"/>
      <c r="K400" s="260"/>
      <c r="L400" s="150"/>
      <c r="M400" s="150"/>
      <c r="N400" s="260"/>
      <c r="O400" s="260"/>
    </row>
    <row r="401" spans="2:15">
      <c r="B401" s="146"/>
      <c r="C401" s="147"/>
      <c r="D401" s="147"/>
      <c r="E401" s="275"/>
      <c r="F401" s="148"/>
      <c r="G401" s="258"/>
      <c r="H401" s="282"/>
      <c r="I401" s="260"/>
      <c r="J401" s="260"/>
      <c r="K401" s="260"/>
      <c r="L401" s="150"/>
      <c r="M401" s="150"/>
      <c r="N401" s="260"/>
      <c r="O401" s="260"/>
    </row>
    <row r="402" spans="2:15">
      <c r="B402" s="146"/>
      <c r="C402" s="147"/>
      <c r="D402" s="147"/>
      <c r="E402" s="275"/>
      <c r="F402" s="148"/>
      <c r="G402" s="258"/>
      <c r="H402" s="282"/>
      <c r="I402" s="260"/>
      <c r="J402" s="260"/>
      <c r="K402" s="260"/>
      <c r="L402" s="150"/>
      <c r="M402" s="150"/>
      <c r="N402" s="260"/>
      <c r="O402" s="260"/>
    </row>
    <row r="403" spans="2:15">
      <c r="B403" s="146"/>
      <c r="C403" s="147"/>
      <c r="D403" s="147"/>
      <c r="E403" s="275"/>
      <c r="F403" s="148"/>
      <c r="G403" s="258"/>
      <c r="H403" s="282"/>
      <c r="I403" s="260"/>
      <c r="J403" s="260"/>
      <c r="K403" s="260"/>
      <c r="L403" s="150"/>
      <c r="M403" s="150"/>
      <c r="N403" s="260"/>
      <c r="O403" s="260"/>
    </row>
    <row r="404" spans="2:15">
      <c r="B404" s="146"/>
      <c r="C404" s="147"/>
      <c r="D404" s="147"/>
      <c r="E404" s="275"/>
      <c r="F404" s="148"/>
      <c r="G404" s="258"/>
      <c r="H404" s="282"/>
      <c r="I404" s="260"/>
      <c r="J404" s="260"/>
      <c r="K404" s="260"/>
      <c r="L404" s="150"/>
      <c r="M404" s="150"/>
      <c r="N404" s="260"/>
      <c r="O404" s="260"/>
    </row>
    <row r="405" spans="2:15">
      <c r="B405" s="146"/>
      <c r="C405" s="147"/>
      <c r="D405" s="147"/>
      <c r="E405" s="275"/>
      <c r="F405" s="148"/>
      <c r="G405" s="258"/>
      <c r="H405" s="282"/>
      <c r="I405" s="260"/>
      <c r="J405" s="260"/>
      <c r="K405" s="260"/>
      <c r="L405" s="150"/>
      <c r="M405" s="150"/>
      <c r="N405" s="260"/>
      <c r="O405" s="260"/>
    </row>
    <row r="406" spans="2:15">
      <c r="B406" s="146"/>
      <c r="C406" s="147"/>
      <c r="D406" s="147"/>
      <c r="E406" s="275"/>
      <c r="F406" s="148"/>
      <c r="G406" s="258"/>
      <c r="H406" s="282"/>
      <c r="I406" s="260"/>
      <c r="J406" s="260"/>
      <c r="K406" s="260"/>
      <c r="L406" s="150"/>
      <c r="M406" s="150"/>
      <c r="N406" s="260"/>
      <c r="O406" s="260"/>
    </row>
    <row r="407" spans="2:15">
      <c r="B407" s="146"/>
      <c r="C407" s="147"/>
      <c r="D407" s="147"/>
      <c r="E407" s="275"/>
      <c r="F407" s="148"/>
      <c r="G407" s="258"/>
      <c r="H407" s="282"/>
      <c r="I407" s="260"/>
      <c r="J407" s="260"/>
      <c r="K407" s="260"/>
      <c r="L407" s="150"/>
      <c r="M407" s="150"/>
      <c r="N407" s="260"/>
      <c r="O407" s="260"/>
    </row>
    <row r="408" spans="2:15">
      <c r="B408" s="146"/>
      <c r="C408" s="147"/>
      <c r="D408" s="147"/>
      <c r="E408" s="275"/>
      <c r="F408" s="148"/>
      <c r="G408" s="258"/>
      <c r="H408" s="282"/>
      <c r="I408" s="260"/>
      <c r="J408" s="260"/>
      <c r="K408" s="260"/>
      <c r="L408" s="150"/>
      <c r="M408" s="150"/>
      <c r="N408" s="260"/>
      <c r="O408" s="260"/>
    </row>
    <row r="409" spans="2:15">
      <c r="B409" s="146"/>
      <c r="C409" s="147"/>
      <c r="D409" s="147"/>
      <c r="E409" s="275"/>
      <c r="F409" s="148"/>
      <c r="G409" s="258"/>
      <c r="H409" s="282"/>
      <c r="I409" s="260"/>
      <c r="J409" s="260"/>
      <c r="K409" s="260"/>
      <c r="L409" s="150"/>
      <c r="M409" s="150"/>
      <c r="N409" s="260"/>
      <c r="O409" s="260"/>
    </row>
    <row r="410" spans="2:15">
      <c r="B410" s="146"/>
      <c r="C410" s="147"/>
      <c r="D410" s="147"/>
      <c r="E410" s="275"/>
      <c r="F410" s="148"/>
      <c r="G410" s="258"/>
      <c r="H410" s="282"/>
      <c r="I410" s="260"/>
      <c r="J410" s="260"/>
      <c r="K410" s="260"/>
      <c r="L410" s="150"/>
      <c r="M410" s="150"/>
      <c r="N410" s="260"/>
      <c r="O410" s="260"/>
    </row>
    <row r="411" spans="2:15">
      <c r="B411" s="146"/>
      <c r="C411" s="147"/>
      <c r="D411" s="147"/>
      <c r="E411" s="275"/>
      <c r="F411" s="148"/>
      <c r="G411" s="258"/>
      <c r="H411" s="282"/>
      <c r="I411" s="260"/>
      <c r="J411" s="260"/>
      <c r="K411" s="260"/>
      <c r="L411" s="150"/>
      <c r="M411" s="150"/>
      <c r="N411" s="260"/>
      <c r="O411" s="260"/>
    </row>
    <row r="412" spans="2:15">
      <c r="B412" s="146"/>
      <c r="C412" s="147"/>
      <c r="D412" s="147"/>
      <c r="E412" s="275"/>
      <c r="F412" s="148"/>
      <c r="G412" s="258"/>
      <c r="H412" s="282"/>
      <c r="I412" s="260"/>
      <c r="J412" s="260"/>
      <c r="K412" s="260"/>
      <c r="L412" s="150"/>
      <c r="M412" s="150"/>
      <c r="N412" s="260"/>
      <c r="O412" s="260"/>
    </row>
    <row r="413" spans="2:15">
      <c r="B413" s="146"/>
      <c r="C413" s="147"/>
      <c r="D413" s="147"/>
      <c r="E413" s="275"/>
      <c r="F413" s="148"/>
      <c r="G413" s="258"/>
      <c r="H413" s="282"/>
      <c r="I413" s="260"/>
      <c r="J413" s="260"/>
      <c r="K413" s="260"/>
      <c r="L413" s="150"/>
      <c r="M413" s="150"/>
      <c r="N413" s="260"/>
      <c r="O413" s="260"/>
    </row>
    <row r="414" spans="2:15">
      <c r="B414" s="146"/>
      <c r="C414" s="147"/>
      <c r="D414" s="147"/>
      <c r="E414" s="275"/>
      <c r="F414" s="148"/>
      <c r="G414" s="258"/>
      <c r="H414" s="282"/>
      <c r="I414" s="260"/>
      <c r="J414" s="260"/>
      <c r="K414" s="260"/>
      <c r="L414" s="150"/>
      <c r="M414" s="150"/>
      <c r="N414" s="260"/>
      <c r="O414" s="260"/>
    </row>
    <row r="415" spans="2:15">
      <c r="B415" s="146"/>
      <c r="C415" s="147"/>
      <c r="D415" s="147"/>
      <c r="E415" s="275"/>
      <c r="F415" s="148"/>
      <c r="G415" s="258"/>
      <c r="H415" s="282"/>
      <c r="I415" s="260"/>
      <c r="J415" s="260"/>
      <c r="K415" s="260"/>
      <c r="L415" s="150"/>
      <c r="M415" s="150"/>
      <c r="N415" s="260"/>
      <c r="O415" s="260"/>
    </row>
    <row r="416" spans="2:15">
      <c r="B416" s="146"/>
      <c r="C416" s="147"/>
      <c r="D416" s="147"/>
      <c r="E416" s="275"/>
      <c r="F416" s="148"/>
      <c r="G416" s="258"/>
      <c r="H416" s="282"/>
      <c r="I416" s="260"/>
      <c r="J416" s="260"/>
      <c r="K416" s="260"/>
      <c r="L416" s="150"/>
      <c r="M416" s="150"/>
      <c r="N416" s="260"/>
      <c r="O416" s="260"/>
    </row>
    <row r="417" spans="2:15">
      <c r="B417" s="146"/>
      <c r="C417" s="147"/>
      <c r="D417" s="147"/>
      <c r="E417" s="275"/>
      <c r="F417" s="148"/>
      <c r="G417" s="258"/>
      <c r="H417" s="282"/>
      <c r="I417" s="260"/>
      <c r="J417" s="260"/>
      <c r="K417" s="260"/>
      <c r="L417" s="150"/>
      <c r="M417" s="150"/>
      <c r="N417" s="260"/>
      <c r="O417" s="260"/>
    </row>
    <row r="418" spans="2:15">
      <c r="B418" s="146"/>
      <c r="C418" s="147"/>
      <c r="D418" s="147"/>
      <c r="E418" s="275"/>
      <c r="F418" s="148"/>
      <c r="G418" s="258"/>
      <c r="H418" s="282"/>
      <c r="I418" s="260"/>
      <c r="J418" s="260"/>
      <c r="K418" s="260"/>
      <c r="L418" s="150"/>
      <c r="M418" s="150"/>
      <c r="N418" s="260"/>
      <c r="O418" s="260"/>
    </row>
    <row r="419" spans="2:15">
      <c r="B419" s="146"/>
      <c r="C419" s="147"/>
      <c r="D419" s="147"/>
      <c r="E419" s="275"/>
      <c r="F419" s="148"/>
      <c r="G419" s="258"/>
      <c r="H419" s="282"/>
      <c r="I419" s="260"/>
      <c r="J419" s="260"/>
      <c r="K419" s="260"/>
      <c r="L419" s="150"/>
      <c r="M419" s="150"/>
      <c r="N419" s="260"/>
      <c r="O419" s="260"/>
    </row>
    <row r="420" spans="2:15">
      <c r="B420" s="146"/>
      <c r="C420" s="147"/>
      <c r="D420" s="147"/>
      <c r="E420" s="275"/>
      <c r="F420" s="148"/>
      <c r="G420" s="258"/>
      <c r="H420" s="282"/>
      <c r="I420" s="260"/>
      <c r="J420" s="260"/>
      <c r="K420" s="260"/>
      <c r="L420" s="150"/>
      <c r="M420" s="150"/>
      <c r="N420" s="260"/>
      <c r="O420" s="260"/>
    </row>
    <row r="421" spans="2:15">
      <c r="B421" s="146"/>
      <c r="C421" s="147"/>
      <c r="D421" s="147"/>
      <c r="E421" s="275"/>
      <c r="F421" s="148"/>
      <c r="G421" s="258"/>
      <c r="H421" s="282"/>
      <c r="I421" s="260"/>
      <c r="J421" s="260"/>
      <c r="K421" s="260"/>
      <c r="L421" s="150"/>
      <c r="M421" s="150"/>
      <c r="N421" s="260"/>
      <c r="O421" s="260"/>
    </row>
    <row r="422" spans="2:15">
      <c r="B422" s="146"/>
      <c r="C422" s="147"/>
      <c r="D422" s="147"/>
      <c r="E422" s="275"/>
      <c r="F422" s="148"/>
      <c r="G422" s="258"/>
      <c r="H422" s="282"/>
      <c r="I422" s="260"/>
      <c r="J422" s="260"/>
      <c r="K422" s="260"/>
      <c r="L422" s="150"/>
      <c r="M422" s="150"/>
      <c r="N422" s="260"/>
      <c r="O422" s="260"/>
    </row>
    <row r="423" spans="2:15">
      <c r="B423" s="146"/>
      <c r="C423" s="147"/>
      <c r="D423" s="147"/>
      <c r="E423" s="275"/>
      <c r="F423" s="148"/>
      <c r="G423" s="258"/>
      <c r="H423" s="282"/>
      <c r="I423" s="260"/>
      <c r="J423" s="260"/>
      <c r="K423" s="260"/>
      <c r="L423" s="150"/>
      <c r="M423" s="150"/>
      <c r="N423" s="260"/>
      <c r="O423" s="260"/>
    </row>
    <row r="424" spans="2:15">
      <c r="B424" s="146"/>
      <c r="C424" s="147"/>
      <c r="D424" s="147"/>
      <c r="E424" s="275"/>
      <c r="F424" s="148"/>
      <c r="G424" s="258"/>
      <c r="H424" s="282"/>
      <c r="I424" s="260"/>
      <c r="J424" s="260"/>
      <c r="K424" s="260"/>
      <c r="L424" s="150"/>
      <c r="M424" s="150"/>
      <c r="N424" s="260"/>
      <c r="O424" s="260"/>
    </row>
    <row r="425" spans="2:15">
      <c r="B425" s="146"/>
      <c r="C425" s="147"/>
      <c r="D425" s="147"/>
      <c r="E425" s="275"/>
      <c r="F425" s="148"/>
      <c r="G425" s="258"/>
      <c r="H425" s="282"/>
      <c r="I425" s="260"/>
      <c r="J425" s="260"/>
      <c r="K425" s="260"/>
      <c r="L425" s="150"/>
      <c r="M425" s="150"/>
      <c r="N425" s="260"/>
      <c r="O425" s="260"/>
    </row>
    <row r="426" spans="2:15">
      <c r="B426" s="146"/>
      <c r="C426" s="147"/>
      <c r="D426" s="147"/>
      <c r="E426" s="275"/>
      <c r="F426" s="148"/>
      <c r="G426" s="258"/>
      <c r="H426" s="282"/>
      <c r="I426" s="260"/>
      <c r="J426" s="260"/>
      <c r="K426" s="260"/>
      <c r="L426" s="150"/>
      <c r="M426" s="150"/>
      <c r="N426" s="260"/>
      <c r="O426" s="260"/>
    </row>
    <row r="427" spans="2:15">
      <c r="B427" s="146"/>
      <c r="C427" s="147"/>
      <c r="D427" s="147"/>
      <c r="E427" s="275"/>
      <c r="F427" s="148"/>
      <c r="G427" s="258"/>
      <c r="H427" s="282"/>
      <c r="I427" s="260"/>
      <c r="J427" s="260"/>
      <c r="K427" s="260"/>
      <c r="L427" s="150"/>
      <c r="M427" s="150"/>
      <c r="N427" s="260"/>
      <c r="O427" s="260"/>
    </row>
    <row r="428" spans="2:15">
      <c r="B428" s="146"/>
      <c r="C428" s="147"/>
      <c r="D428" s="147"/>
      <c r="E428" s="275"/>
      <c r="F428" s="148"/>
      <c r="G428" s="258"/>
      <c r="H428" s="282"/>
      <c r="I428" s="260"/>
      <c r="J428" s="260"/>
      <c r="K428" s="260"/>
      <c r="L428" s="150"/>
      <c r="M428" s="150"/>
      <c r="N428" s="260"/>
      <c r="O428" s="260"/>
    </row>
    <row r="429" spans="2:15">
      <c r="B429" s="146"/>
      <c r="C429" s="147"/>
      <c r="D429" s="147"/>
      <c r="E429" s="275"/>
      <c r="F429" s="148"/>
      <c r="G429" s="258"/>
      <c r="H429" s="282"/>
      <c r="I429" s="260"/>
      <c r="J429" s="260"/>
      <c r="K429" s="260"/>
      <c r="L429" s="150"/>
      <c r="M429" s="150"/>
      <c r="N429" s="260"/>
      <c r="O429" s="260"/>
    </row>
    <row r="430" spans="2:15">
      <c r="B430" s="146"/>
      <c r="C430" s="147"/>
      <c r="D430" s="147"/>
      <c r="E430" s="275"/>
      <c r="F430" s="148"/>
      <c r="G430" s="258"/>
      <c r="H430" s="282"/>
      <c r="I430" s="260"/>
      <c r="J430" s="260"/>
      <c r="K430" s="260"/>
      <c r="L430" s="150"/>
      <c r="M430" s="150"/>
      <c r="N430" s="260"/>
      <c r="O430" s="260"/>
    </row>
    <row r="431" spans="2:15">
      <c r="B431" s="146"/>
      <c r="C431" s="147"/>
      <c r="D431" s="147"/>
      <c r="E431" s="275"/>
      <c r="F431" s="148"/>
      <c r="G431" s="258"/>
      <c r="H431" s="282"/>
      <c r="I431" s="260"/>
      <c r="J431" s="260"/>
      <c r="K431" s="260"/>
      <c r="L431" s="150"/>
      <c r="M431" s="150"/>
      <c r="N431" s="260"/>
      <c r="O431" s="260"/>
    </row>
    <row r="432" spans="2:15">
      <c r="B432" s="146"/>
      <c r="C432" s="147"/>
      <c r="D432" s="147"/>
      <c r="E432" s="275"/>
      <c r="F432" s="148"/>
      <c r="G432" s="258"/>
      <c r="H432" s="282"/>
      <c r="I432" s="260"/>
      <c r="J432" s="260"/>
      <c r="K432" s="260"/>
      <c r="L432" s="150"/>
      <c r="M432" s="150"/>
      <c r="N432" s="260"/>
      <c r="O432" s="260"/>
    </row>
    <row r="433" spans="2:15">
      <c r="B433" s="146"/>
      <c r="C433" s="147"/>
      <c r="D433" s="147"/>
      <c r="E433" s="275"/>
      <c r="F433" s="148"/>
      <c r="G433" s="258"/>
      <c r="H433" s="282"/>
      <c r="I433" s="260"/>
      <c r="J433" s="260"/>
      <c r="K433" s="260"/>
      <c r="L433" s="150"/>
      <c r="M433" s="150"/>
      <c r="N433" s="260"/>
      <c r="O433" s="260"/>
    </row>
    <row r="434" spans="2:15">
      <c r="B434" s="146"/>
      <c r="C434" s="147"/>
      <c r="D434" s="147"/>
      <c r="E434" s="275"/>
      <c r="F434" s="148"/>
      <c r="G434" s="258"/>
      <c r="H434" s="282"/>
      <c r="I434" s="260"/>
      <c r="J434" s="260"/>
      <c r="K434" s="260"/>
      <c r="L434" s="150"/>
      <c r="M434" s="150"/>
      <c r="N434" s="260"/>
      <c r="O434" s="260"/>
    </row>
    <row r="435" spans="2:15">
      <c r="B435" s="146"/>
      <c r="C435" s="147"/>
      <c r="D435" s="147"/>
      <c r="E435" s="275"/>
      <c r="F435" s="148"/>
      <c r="G435" s="258"/>
      <c r="H435" s="282"/>
      <c r="I435" s="260"/>
      <c r="J435" s="260"/>
      <c r="K435" s="260"/>
      <c r="L435" s="150"/>
      <c r="M435" s="150"/>
      <c r="N435" s="260"/>
      <c r="O435" s="260"/>
    </row>
    <row r="436" spans="2:15">
      <c r="B436" s="146"/>
      <c r="C436" s="147"/>
      <c r="D436" s="147"/>
      <c r="E436" s="275"/>
      <c r="F436" s="148"/>
      <c r="G436" s="258"/>
      <c r="H436" s="282"/>
      <c r="I436" s="260"/>
      <c r="J436" s="260"/>
      <c r="K436" s="260"/>
      <c r="L436" s="150"/>
      <c r="M436" s="150"/>
      <c r="N436" s="260"/>
      <c r="O436" s="260"/>
    </row>
    <row r="437" spans="2:15">
      <c r="B437" s="146"/>
      <c r="C437" s="147"/>
      <c r="D437" s="147"/>
      <c r="E437" s="275"/>
      <c r="F437" s="148"/>
      <c r="G437" s="258"/>
      <c r="H437" s="282"/>
      <c r="I437" s="260"/>
      <c r="J437" s="260"/>
      <c r="K437" s="260"/>
      <c r="L437" s="150"/>
      <c r="M437" s="150"/>
      <c r="N437" s="260"/>
      <c r="O437" s="260"/>
    </row>
    <row r="438" spans="2:15">
      <c r="B438" s="146"/>
      <c r="C438" s="147"/>
      <c r="D438" s="147"/>
      <c r="E438" s="275"/>
      <c r="F438" s="148"/>
      <c r="G438" s="258"/>
      <c r="H438" s="282"/>
      <c r="I438" s="260"/>
      <c r="J438" s="260"/>
      <c r="K438" s="260"/>
      <c r="L438" s="150"/>
      <c r="M438" s="150"/>
      <c r="N438" s="260"/>
      <c r="O438" s="260"/>
    </row>
    <row r="439" spans="2:15">
      <c r="B439" s="146"/>
      <c r="C439" s="147"/>
      <c r="D439" s="147"/>
      <c r="E439" s="275"/>
      <c r="F439" s="148"/>
      <c r="G439" s="258"/>
      <c r="H439" s="282"/>
      <c r="I439" s="260"/>
      <c r="J439" s="260"/>
      <c r="K439" s="260"/>
      <c r="L439" s="150"/>
      <c r="M439" s="150"/>
      <c r="N439" s="260"/>
      <c r="O439" s="260"/>
    </row>
    <row r="440" spans="2:15">
      <c r="B440" s="146"/>
      <c r="C440" s="147"/>
      <c r="D440" s="147"/>
      <c r="E440" s="275"/>
      <c r="F440" s="148"/>
      <c r="G440" s="258"/>
      <c r="H440" s="282"/>
      <c r="I440" s="260"/>
      <c r="J440" s="260"/>
      <c r="K440" s="260"/>
      <c r="L440" s="150"/>
      <c r="M440" s="150"/>
      <c r="N440" s="260"/>
      <c r="O440" s="260"/>
    </row>
    <row r="441" spans="2:15">
      <c r="B441" s="146"/>
      <c r="C441" s="147"/>
      <c r="D441" s="147"/>
      <c r="E441" s="275"/>
      <c r="F441" s="148"/>
      <c r="G441" s="258"/>
      <c r="H441" s="282"/>
      <c r="I441" s="260"/>
      <c r="J441" s="260"/>
      <c r="K441" s="260"/>
      <c r="L441" s="150"/>
      <c r="M441" s="150"/>
      <c r="N441" s="260"/>
      <c r="O441" s="260"/>
    </row>
    <row r="442" spans="2:15">
      <c r="B442" s="146"/>
      <c r="C442" s="147"/>
      <c r="D442" s="147"/>
      <c r="E442" s="275"/>
      <c r="F442" s="148"/>
      <c r="G442" s="258"/>
      <c r="H442" s="282"/>
      <c r="I442" s="260"/>
      <c r="J442" s="260"/>
      <c r="K442" s="260"/>
      <c r="L442" s="150"/>
      <c r="M442" s="150"/>
      <c r="N442" s="260"/>
      <c r="O442" s="260"/>
    </row>
    <row r="443" spans="2:15">
      <c r="B443" s="146"/>
      <c r="C443" s="147"/>
      <c r="D443" s="147"/>
      <c r="E443" s="275"/>
      <c r="F443" s="148"/>
      <c r="G443" s="258"/>
      <c r="H443" s="282"/>
      <c r="I443" s="260"/>
      <c r="J443" s="260"/>
      <c r="K443" s="260"/>
      <c r="L443" s="150"/>
      <c r="M443" s="150"/>
      <c r="N443" s="260"/>
      <c r="O443" s="260"/>
    </row>
    <row r="444" spans="2:15">
      <c r="B444" s="146"/>
      <c r="C444" s="147"/>
      <c r="D444" s="147"/>
      <c r="E444" s="275"/>
      <c r="F444" s="148"/>
      <c r="G444" s="258"/>
      <c r="H444" s="282"/>
      <c r="I444" s="260"/>
      <c r="J444" s="260"/>
      <c r="K444" s="260"/>
      <c r="L444" s="150"/>
      <c r="M444" s="150"/>
      <c r="N444" s="260"/>
      <c r="O444" s="260"/>
    </row>
    <row r="445" spans="2:15">
      <c r="B445" s="146"/>
      <c r="C445" s="147"/>
      <c r="D445" s="147"/>
      <c r="E445" s="275"/>
      <c r="F445" s="148"/>
      <c r="G445" s="258"/>
      <c r="H445" s="282"/>
      <c r="I445" s="260"/>
      <c r="J445" s="260"/>
      <c r="K445" s="260"/>
      <c r="L445" s="150"/>
      <c r="M445" s="150"/>
      <c r="N445" s="260"/>
      <c r="O445" s="260"/>
    </row>
    <row r="446" spans="2:15">
      <c r="B446" s="146"/>
      <c r="C446" s="147"/>
      <c r="D446" s="147"/>
      <c r="E446" s="275"/>
      <c r="F446" s="148"/>
      <c r="G446" s="258"/>
      <c r="H446" s="282"/>
      <c r="I446" s="260"/>
      <c r="J446" s="260"/>
      <c r="K446" s="260"/>
      <c r="L446" s="150"/>
      <c r="M446" s="150"/>
      <c r="N446" s="260"/>
      <c r="O446" s="260"/>
    </row>
    <row r="447" spans="2:15">
      <c r="B447" s="146"/>
      <c r="C447" s="147"/>
      <c r="D447" s="147"/>
      <c r="E447" s="275"/>
      <c r="F447" s="148"/>
      <c r="G447" s="258"/>
      <c r="H447" s="282"/>
      <c r="I447" s="260"/>
      <c r="J447" s="260"/>
      <c r="K447" s="260"/>
      <c r="L447" s="150"/>
      <c r="M447" s="150"/>
      <c r="N447" s="260"/>
      <c r="O447" s="260"/>
    </row>
    <row r="448" spans="2:15">
      <c r="B448" s="146"/>
      <c r="C448" s="147"/>
      <c r="D448" s="147"/>
      <c r="E448" s="275"/>
      <c r="F448" s="148"/>
      <c r="G448" s="258"/>
      <c r="H448" s="282"/>
      <c r="I448" s="260"/>
      <c r="J448" s="260"/>
      <c r="K448" s="260"/>
      <c r="L448" s="150"/>
      <c r="M448" s="150"/>
      <c r="N448" s="260"/>
      <c r="O448" s="260"/>
    </row>
    <row r="449" spans="2:15">
      <c r="B449" s="146"/>
      <c r="C449" s="147"/>
      <c r="D449" s="147"/>
      <c r="E449" s="275"/>
      <c r="F449" s="148"/>
      <c r="G449" s="258"/>
      <c r="H449" s="282"/>
      <c r="I449" s="260"/>
      <c r="J449" s="260"/>
      <c r="K449" s="260"/>
      <c r="L449" s="150"/>
      <c r="M449" s="150"/>
      <c r="N449" s="260"/>
      <c r="O449" s="260"/>
    </row>
    <row r="450" spans="2:15">
      <c r="B450" s="146"/>
      <c r="C450" s="147"/>
      <c r="D450" s="147"/>
      <c r="E450" s="275"/>
      <c r="F450" s="148"/>
      <c r="G450" s="258"/>
      <c r="H450" s="282"/>
      <c r="I450" s="260"/>
      <c r="J450" s="260"/>
      <c r="K450" s="260"/>
      <c r="L450" s="150"/>
      <c r="M450" s="150"/>
      <c r="N450" s="260"/>
      <c r="O450" s="260"/>
    </row>
    <row r="451" spans="2:15">
      <c r="B451" s="146"/>
      <c r="C451" s="147"/>
      <c r="D451" s="147"/>
      <c r="E451" s="275"/>
      <c r="F451" s="148"/>
      <c r="G451" s="258"/>
      <c r="H451" s="282"/>
      <c r="I451" s="260"/>
      <c r="J451" s="260"/>
      <c r="K451" s="260"/>
      <c r="L451" s="150"/>
      <c r="M451" s="150"/>
      <c r="N451" s="260"/>
      <c r="O451" s="260"/>
    </row>
    <row r="452" spans="2:15">
      <c r="B452" s="146"/>
      <c r="C452" s="147"/>
      <c r="D452" s="147"/>
      <c r="E452" s="275"/>
      <c r="F452" s="148"/>
      <c r="G452" s="258"/>
      <c r="H452" s="282"/>
      <c r="I452" s="260"/>
      <c r="J452" s="260"/>
      <c r="K452" s="260"/>
      <c r="L452" s="150"/>
      <c r="M452" s="150"/>
      <c r="N452" s="260"/>
      <c r="O452" s="260"/>
    </row>
    <row r="453" spans="2:15">
      <c r="B453" s="146"/>
      <c r="C453" s="147"/>
      <c r="D453" s="147"/>
      <c r="E453" s="275"/>
      <c r="F453" s="148"/>
      <c r="G453" s="258"/>
      <c r="H453" s="282"/>
      <c r="I453" s="260"/>
      <c r="J453" s="260"/>
      <c r="K453" s="260"/>
      <c r="L453" s="150"/>
      <c r="M453" s="150"/>
      <c r="N453" s="260"/>
      <c r="O453" s="260"/>
    </row>
    <row r="454" spans="2:15">
      <c r="B454" s="146"/>
      <c r="C454" s="147"/>
      <c r="D454" s="147"/>
      <c r="E454" s="275"/>
      <c r="F454" s="148"/>
      <c r="G454" s="258"/>
      <c r="H454" s="282"/>
      <c r="I454" s="260"/>
      <c r="J454" s="260"/>
      <c r="K454" s="260"/>
      <c r="L454" s="150"/>
      <c r="M454" s="150"/>
      <c r="N454" s="260"/>
      <c r="O454" s="260"/>
    </row>
    <row r="455" spans="2:15">
      <c r="B455" s="146"/>
      <c r="C455" s="147"/>
      <c r="D455" s="147"/>
      <c r="E455" s="275"/>
      <c r="F455" s="148"/>
      <c r="G455" s="258"/>
      <c r="H455" s="282"/>
      <c r="I455" s="260"/>
      <c r="J455" s="260"/>
      <c r="K455" s="260"/>
      <c r="L455" s="150"/>
      <c r="M455" s="150"/>
      <c r="N455" s="260"/>
      <c r="O455" s="260"/>
    </row>
    <row r="456" spans="2:15">
      <c r="B456" s="146"/>
      <c r="C456" s="147"/>
      <c r="D456" s="147"/>
      <c r="E456" s="275"/>
      <c r="F456" s="148"/>
      <c r="G456" s="258"/>
      <c r="H456" s="282"/>
      <c r="I456" s="260"/>
      <c r="J456" s="260"/>
      <c r="K456" s="260"/>
      <c r="L456" s="150"/>
      <c r="M456" s="150"/>
      <c r="N456" s="260"/>
      <c r="O456" s="260"/>
    </row>
    <row r="457" spans="2:15">
      <c r="B457" s="146"/>
      <c r="C457" s="147"/>
      <c r="D457" s="147"/>
      <c r="E457" s="275"/>
      <c r="F457" s="148"/>
      <c r="G457" s="258"/>
      <c r="H457" s="282"/>
      <c r="I457" s="260"/>
      <c r="J457" s="260"/>
      <c r="K457" s="260"/>
      <c r="L457" s="150"/>
      <c r="M457" s="150"/>
      <c r="N457" s="260"/>
      <c r="O457" s="260"/>
    </row>
    <row r="458" spans="2:15">
      <c r="B458" s="146"/>
      <c r="C458" s="147"/>
      <c r="D458" s="147"/>
      <c r="E458" s="275"/>
      <c r="F458" s="148"/>
      <c r="G458" s="258"/>
      <c r="H458" s="282"/>
      <c r="I458" s="260"/>
      <c r="J458" s="260"/>
      <c r="K458" s="260"/>
      <c r="L458" s="150"/>
      <c r="M458" s="150"/>
      <c r="N458" s="260"/>
      <c r="O458" s="260"/>
    </row>
    <row r="459" spans="2:15">
      <c r="B459" s="146"/>
      <c r="C459" s="147"/>
      <c r="D459" s="147"/>
      <c r="E459" s="275"/>
      <c r="F459" s="148"/>
      <c r="G459" s="258"/>
      <c r="H459" s="282"/>
      <c r="I459" s="260"/>
      <c r="J459" s="260"/>
      <c r="K459" s="260"/>
      <c r="L459" s="150"/>
      <c r="M459" s="150"/>
      <c r="N459" s="260"/>
      <c r="O459" s="260"/>
    </row>
    <row r="460" spans="2:15">
      <c r="B460" s="146"/>
      <c r="C460" s="147"/>
      <c r="D460" s="147"/>
      <c r="E460" s="275"/>
      <c r="F460" s="148"/>
      <c r="G460" s="258"/>
      <c r="H460" s="282"/>
      <c r="I460" s="260"/>
      <c r="J460" s="260"/>
      <c r="K460" s="260"/>
      <c r="L460" s="150"/>
      <c r="M460" s="150"/>
      <c r="N460" s="260"/>
      <c r="O460" s="260"/>
    </row>
    <row r="461" spans="2:15">
      <c r="B461" s="146"/>
      <c r="C461" s="147"/>
      <c r="D461" s="147"/>
      <c r="E461" s="275"/>
      <c r="F461" s="148"/>
      <c r="G461" s="258"/>
      <c r="H461" s="282"/>
      <c r="I461" s="260"/>
      <c r="J461" s="260"/>
      <c r="K461" s="260"/>
      <c r="L461" s="150"/>
      <c r="M461" s="150"/>
      <c r="N461" s="260"/>
      <c r="O461" s="260"/>
    </row>
    <row r="462" spans="2:15">
      <c r="B462" s="146"/>
      <c r="C462" s="147"/>
      <c r="D462" s="147"/>
      <c r="E462" s="275"/>
      <c r="F462" s="148"/>
      <c r="G462" s="258"/>
      <c r="H462" s="282"/>
      <c r="I462" s="260"/>
      <c r="J462" s="260"/>
      <c r="K462" s="260"/>
      <c r="L462" s="150"/>
      <c r="M462" s="150"/>
      <c r="N462" s="260"/>
      <c r="O462" s="260"/>
    </row>
    <row r="463" spans="2:15">
      <c r="B463" s="146"/>
      <c r="C463" s="147"/>
      <c r="D463" s="147"/>
      <c r="E463" s="275"/>
      <c r="F463" s="148"/>
      <c r="G463" s="258"/>
      <c r="H463" s="282"/>
      <c r="I463" s="260"/>
      <c r="J463" s="260"/>
      <c r="K463" s="260"/>
      <c r="L463" s="150"/>
      <c r="M463" s="150"/>
      <c r="N463" s="260"/>
      <c r="O463" s="260"/>
    </row>
    <row r="464" spans="2:15">
      <c r="B464" s="146"/>
      <c r="C464" s="147"/>
      <c r="D464" s="147"/>
      <c r="E464" s="275"/>
      <c r="F464" s="148"/>
      <c r="G464" s="258"/>
      <c r="H464" s="282"/>
      <c r="I464" s="260"/>
      <c r="J464" s="260"/>
      <c r="K464" s="260"/>
      <c r="L464" s="150"/>
      <c r="M464" s="150"/>
      <c r="N464" s="260"/>
      <c r="O464" s="260"/>
    </row>
    <row r="465" spans="2:15">
      <c r="B465" s="146"/>
      <c r="C465" s="147"/>
      <c r="D465" s="147"/>
      <c r="E465" s="275"/>
      <c r="F465" s="148"/>
      <c r="G465" s="258"/>
      <c r="H465" s="282"/>
      <c r="I465" s="260"/>
      <c r="J465" s="260"/>
      <c r="K465" s="260"/>
      <c r="L465" s="150"/>
      <c r="M465" s="150"/>
      <c r="N465" s="260"/>
      <c r="O465" s="260"/>
    </row>
    <row r="466" spans="2:15">
      <c r="B466" s="146"/>
      <c r="C466" s="147"/>
      <c r="D466" s="147"/>
      <c r="E466" s="275"/>
      <c r="F466" s="148"/>
      <c r="G466" s="258"/>
      <c r="H466" s="282"/>
      <c r="I466" s="260"/>
      <c r="J466" s="260"/>
      <c r="K466" s="260"/>
      <c r="L466" s="150"/>
      <c r="M466" s="150"/>
      <c r="N466" s="260"/>
      <c r="O466" s="260"/>
    </row>
    <row r="467" spans="2:15">
      <c r="B467" s="146"/>
      <c r="C467" s="147"/>
      <c r="D467" s="147"/>
      <c r="E467" s="275"/>
      <c r="F467" s="148"/>
      <c r="G467" s="258"/>
      <c r="H467" s="282"/>
      <c r="I467" s="260"/>
      <c r="J467" s="260"/>
      <c r="K467" s="260"/>
      <c r="L467" s="150"/>
      <c r="M467" s="150"/>
      <c r="N467" s="260"/>
      <c r="O467" s="260"/>
    </row>
    <row r="468" spans="2:15">
      <c r="B468" s="146"/>
      <c r="C468" s="147"/>
      <c r="D468" s="147"/>
      <c r="E468" s="275"/>
      <c r="F468" s="148"/>
      <c r="G468" s="258"/>
      <c r="H468" s="282"/>
      <c r="I468" s="260"/>
      <c r="J468" s="260"/>
      <c r="K468" s="260"/>
      <c r="L468" s="150"/>
      <c r="M468" s="150"/>
      <c r="N468" s="260"/>
      <c r="O468" s="260"/>
    </row>
    <row r="469" spans="2:15">
      <c r="B469" s="146"/>
      <c r="C469" s="147"/>
      <c r="D469" s="147"/>
      <c r="E469" s="275"/>
      <c r="F469" s="148"/>
      <c r="G469" s="258"/>
      <c r="H469" s="282"/>
      <c r="I469" s="260"/>
      <c r="J469" s="260"/>
      <c r="K469" s="260"/>
      <c r="L469" s="150"/>
      <c r="M469" s="150"/>
      <c r="N469" s="260"/>
      <c r="O469" s="260"/>
    </row>
    <row r="470" spans="2:15">
      <c r="B470" s="146"/>
      <c r="C470" s="147"/>
      <c r="D470" s="147"/>
      <c r="E470" s="275"/>
      <c r="F470" s="148"/>
      <c r="G470" s="258"/>
      <c r="H470" s="282"/>
      <c r="I470" s="260"/>
      <c r="J470" s="260"/>
      <c r="K470" s="260"/>
      <c r="L470" s="150"/>
      <c r="M470" s="150"/>
      <c r="N470" s="260"/>
      <c r="O470" s="260"/>
    </row>
    <row r="471" spans="2:15">
      <c r="B471" s="146"/>
      <c r="C471" s="147"/>
      <c r="D471" s="147"/>
      <c r="E471" s="275"/>
      <c r="F471" s="148"/>
      <c r="G471" s="258"/>
      <c r="H471" s="282"/>
      <c r="I471" s="260"/>
      <c r="J471" s="260"/>
      <c r="K471" s="260"/>
      <c r="L471" s="150"/>
      <c r="M471" s="150"/>
      <c r="N471" s="260"/>
      <c r="O471" s="260"/>
    </row>
    <row r="472" spans="2:15">
      <c r="B472" s="146"/>
      <c r="C472" s="147"/>
      <c r="D472" s="147"/>
      <c r="E472" s="275"/>
      <c r="F472" s="148"/>
      <c r="G472" s="258"/>
      <c r="H472" s="282"/>
      <c r="I472" s="260"/>
      <c r="J472" s="260"/>
      <c r="K472" s="260"/>
      <c r="L472" s="150"/>
      <c r="M472" s="150"/>
      <c r="N472" s="260"/>
      <c r="O472" s="260"/>
    </row>
    <row r="473" spans="2:15">
      <c r="B473" s="146"/>
      <c r="C473" s="147"/>
      <c r="D473" s="147"/>
      <c r="E473" s="275"/>
      <c r="F473" s="148"/>
      <c r="G473" s="258"/>
      <c r="H473" s="282"/>
      <c r="I473" s="260"/>
      <c r="J473" s="260"/>
      <c r="K473" s="260"/>
      <c r="L473" s="150"/>
      <c r="M473" s="150"/>
      <c r="N473" s="260"/>
      <c r="O473" s="260"/>
    </row>
    <row r="474" spans="2:15">
      <c r="B474" s="146"/>
      <c r="C474" s="147"/>
      <c r="D474" s="147"/>
      <c r="E474" s="275"/>
      <c r="F474" s="148"/>
      <c r="G474" s="258"/>
      <c r="H474" s="282"/>
      <c r="I474" s="260"/>
      <c r="J474" s="260"/>
      <c r="K474" s="260"/>
      <c r="L474" s="150"/>
      <c r="M474" s="150"/>
      <c r="N474" s="260"/>
      <c r="O474" s="260"/>
    </row>
    <row r="475" spans="2:15">
      <c r="B475" s="146"/>
      <c r="C475" s="147"/>
      <c r="D475" s="147"/>
      <c r="E475" s="275"/>
      <c r="F475" s="148"/>
      <c r="G475" s="258"/>
      <c r="H475" s="282"/>
      <c r="I475" s="260"/>
      <c r="J475" s="260"/>
      <c r="K475" s="260"/>
      <c r="L475" s="150"/>
      <c r="M475" s="150"/>
      <c r="N475" s="260"/>
      <c r="O475" s="260"/>
    </row>
    <row r="476" spans="2:15">
      <c r="B476" s="146"/>
      <c r="C476" s="147"/>
      <c r="D476" s="147"/>
      <c r="E476" s="275"/>
      <c r="F476" s="148"/>
      <c r="G476" s="258"/>
      <c r="H476" s="282"/>
      <c r="I476" s="260"/>
      <c r="J476" s="260"/>
      <c r="K476" s="260"/>
      <c r="L476" s="150"/>
      <c r="M476" s="150"/>
      <c r="N476" s="260"/>
      <c r="O476" s="260"/>
    </row>
    <row r="477" spans="2:15">
      <c r="B477" s="146"/>
      <c r="C477" s="147"/>
      <c r="D477" s="147"/>
      <c r="E477" s="275"/>
      <c r="F477" s="148"/>
      <c r="G477" s="258"/>
      <c r="H477" s="282"/>
      <c r="I477" s="260"/>
      <c r="J477" s="260"/>
      <c r="K477" s="260"/>
      <c r="L477" s="150"/>
      <c r="M477" s="150"/>
      <c r="N477" s="260"/>
      <c r="O477" s="260"/>
    </row>
    <row r="478" spans="2:15">
      <c r="B478" s="146"/>
      <c r="C478" s="147"/>
      <c r="D478" s="147"/>
      <c r="E478" s="275"/>
      <c r="F478" s="148"/>
      <c r="G478" s="258"/>
      <c r="H478" s="282"/>
      <c r="I478" s="260"/>
      <c r="J478" s="260"/>
      <c r="K478" s="260"/>
      <c r="L478" s="150"/>
      <c r="M478" s="150"/>
      <c r="N478" s="260"/>
      <c r="O478" s="260"/>
    </row>
    <row r="479" spans="2:15">
      <c r="B479" s="146"/>
      <c r="C479" s="147"/>
      <c r="D479" s="147"/>
      <c r="E479" s="275"/>
      <c r="F479" s="148"/>
      <c r="G479" s="258"/>
      <c r="H479" s="282"/>
      <c r="I479" s="260"/>
      <c r="J479" s="260"/>
      <c r="K479" s="260"/>
      <c r="L479" s="150"/>
      <c r="M479" s="150"/>
      <c r="N479" s="260"/>
      <c r="O479" s="260"/>
    </row>
    <row r="480" spans="2:15">
      <c r="B480" s="146"/>
      <c r="C480" s="147"/>
      <c r="D480" s="147"/>
      <c r="E480" s="275"/>
      <c r="F480" s="148"/>
      <c r="G480" s="258"/>
      <c r="H480" s="282"/>
      <c r="I480" s="260"/>
      <c r="J480" s="260"/>
      <c r="K480" s="260"/>
      <c r="L480" s="150"/>
      <c r="M480" s="150"/>
      <c r="N480" s="260"/>
      <c r="O480" s="260"/>
    </row>
    <row r="481" spans="2:15">
      <c r="B481" s="146"/>
      <c r="C481" s="147"/>
      <c r="D481" s="147"/>
      <c r="E481" s="275"/>
      <c r="F481" s="148"/>
      <c r="G481" s="258"/>
      <c r="H481" s="282"/>
      <c r="I481" s="260"/>
      <c r="J481" s="260"/>
      <c r="K481" s="260"/>
      <c r="L481" s="150"/>
      <c r="M481" s="150"/>
      <c r="N481" s="260"/>
      <c r="O481" s="260"/>
    </row>
    <row r="482" spans="2:15">
      <c r="B482" s="146"/>
      <c r="C482" s="147"/>
      <c r="D482" s="147"/>
      <c r="E482" s="275"/>
      <c r="F482" s="148"/>
      <c r="G482" s="258"/>
      <c r="H482" s="282"/>
      <c r="I482" s="260"/>
      <c r="J482" s="260"/>
      <c r="K482" s="260"/>
      <c r="L482" s="150"/>
      <c r="M482" s="150"/>
      <c r="N482" s="260"/>
      <c r="O482" s="260"/>
    </row>
    <row r="483" spans="2:15">
      <c r="B483" s="146"/>
      <c r="C483" s="147"/>
      <c r="D483" s="147"/>
      <c r="E483" s="275"/>
      <c r="F483" s="148"/>
      <c r="G483" s="258"/>
      <c r="H483" s="282"/>
      <c r="I483" s="260"/>
      <c r="J483" s="260"/>
      <c r="K483" s="260"/>
      <c r="L483" s="150"/>
      <c r="M483" s="150"/>
      <c r="N483" s="260"/>
      <c r="O483" s="260"/>
    </row>
    <row r="484" spans="2:15">
      <c r="B484" s="146"/>
      <c r="C484" s="147"/>
      <c r="D484" s="147"/>
      <c r="E484" s="275"/>
      <c r="F484" s="148"/>
      <c r="G484" s="258"/>
      <c r="H484" s="282"/>
      <c r="I484" s="260"/>
      <c r="J484" s="260"/>
      <c r="K484" s="260"/>
      <c r="L484" s="150"/>
      <c r="M484" s="150"/>
      <c r="N484" s="260"/>
      <c r="O484" s="260"/>
    </row>
    <row r="485" spans="2:15">
      <c r="B485" s="146"/>
      <c r="C485" s="147"/>
      <c r="D485" s="147"/>
      <c r="E485" s="275"/>
      <c r="F485" s="148"/>
      <c r="G485" s="258"/>
      <c r="H485" s="282"/>
      <c r="I485" s="260"/>
      <c r="J485" s="260"/>
      <c r="K485" s="260"/>
      <c r="L485" s="150"/>
      <c r="M485" s="150"/>
      <c r="N485" s="260"/>
      <c r="O485" s="260"/>
    </row>
    <row r="486" spans="2:15">
      <c r="B486" s="146"/>
      <c r="C486" s="147"/>
      <c r="D486" s="147"/>
      <c r="E486" s="275"/>
      <c r="F486" s="148"/>
      <c r="G486" s="258"/>
      <c r="H486" s="282"/>
      <c r="I486" s="260"/>
      <c r="J486" s="260"/>
      <c r="K486" s="260"/>
      <c r="L486" s="150"/>
      <c r="M486" s="150"/>
      <c r="N486" s="260"/>
      <c r="O486" s="260"/>
    </row>
    <row r="487" spans="2:15">
      <c r="B487" s="146"/>
      <c r="C487" s="147"/>
      <c r="D487" s="147"/>
      <c r="E487" s="275"/>
      <c r="F487" s="148"/>
      <c r="G487" s="258"/>
      <c r="H487" s="282"/>
      <c r="I487" s="260"/>
      <c r="J487" s="260"/>
      <c r="K487" s="260"/>
      <c r="L487" s="150"/>
      <c r="M487" s="150"/>
      <c r="N487" s="260"/>
      <c r="O487" s="260"/>
    </row>
    <row r="488" spans="2:15">
      <c r="B488" s="146"/>
      <c r="C488" s="147"/>
      <c r="D488" s="147"/>
      <c r="E488" s="275"/>
      <c r="F488" s="148"/>
      <c r="G488" s="258"/>
      <c r="H488" s="282"/>
      <c r="I488" s="260"/>
      <c r="J488" s="260"/>
      <c r="K488" s="260"/>
      <c r="L488" s="150"/>
      <c r="M488" s="150"/>
      <c r="N488" s="260"/>
      <c r="O488" s="260"/>
    </row>
    <row r="489" spans="2:15">
      <c r="B489" s="146"/>
      <c r="C489" s="147"/>
      <c r="D489" s="147"/>
      <c r="E489" s="275"/>
      <c r="F489" s="148"/>
      <c r="G489" s="258"/>
      <c r="H489" s="282"/>
      <c r="I489" s="260"/>
      <c r="J489" s="260"/>
      <c r="K489" s="260"/>
      <c r="L489" s="150"/>
      <c r="M489" s="150"/>
      <c r="N489" s="260"/>
      <c r="O489" s="260"/>
    </row>
    <row r="490" spans="2:15">
      <c r="B490" s="146"/>
      <c r="C490" s="147"/>
      <c r="D490" s="147"/>
      <c r="E490" s="275"/>
      <c r="F490" s="148"/>
      <c r="G490" s="258"/>
      <c r="H490" s="282"/>
      <c r="I490" s="260"/>
      <c r="J490" s="260"/>
      <c r="K490" s="260"/>
      <c r="L490" s="150"/>
      <c r="M490" s="150"/>
      <c r="N490" s="260"/>
      <c r="O490" s="260"/>
    </row>
    <row r="491" spans="2:15">
      <c r="B491" s="146"/>
      <c r="C491" s="147"/>
      <c r="D491" s="147"/>
      <c r="E491" s="275"/>
      <c r="F491" s="148"/>
      <c r="G491" s="258"/>
      <c r="H491" s="282"/>
      <c r="I491" s="260"/>
      <c r="J491" s="260"/>
      <c r="K491" s="260"/>
      <c r="L491" s="150"/>
      <c r="M491" s="150"/>
      <c r="N491" s="260"/>
      <c r="O491" s="260"/>
    </row>
    <row r="492" spans="2:15">
      <c r="B492" s="146"/>
      <c r="C492" s="147"/>
      <c r="D492" s="147"/>
      <c r="E492" s="275"/>
      <c r="F492" s="148"/>
      <c r="G492" s="258"/>
      <c r="H492" s="282"/>
      <c r="I492" s="260"/>
      <c r="J492" s="260"/>
      <c r="K492" s="260"/>
      <c r="L492" s="150"/>
      <c r="M492" s="150"/>
      <c r="N492" s="260"/>
      <c r="O492" s="260"/>
    </row>
    <row r="493" spans="2:15">
      <c r="B493" s="146"/>
      <c r="C493" s="147"/>
      <c r="D493" s="147"/>
      <c r="E493" s="275"/>
      <c r="F493" s="148"/>
      <c r="G493" s="258"/>
      <c r="H493" s="282"/>
      <c r="I493" s="260"/>
      <c r="J493" s="260"/>
      <c r="K493" s="260"/>
      <c r="L493" s="150"/>
      <c r="M493" s="150"/>
      <c r="N493" s="260"/>
      <c r="O493" s="260"/>
    </row>
    <row r="494" spans="2:15">
      <c r="B494" s="146"/>
      <c r="C494" s="147"/>
      <c r="D494" s="147"/>
      <c r="E494" s="275"/>
      <c r="F494" s="148"/>
      <c r="G494" s="258"/>
      <c r="H494" s="282"/>
      <c r="I494" s="260"/>
      <c r="J494" s="260"/>
      <c r="K494" s="260"/>
      <c r="L494" s="150"/>
      <c r="M494" s="150"/>
      <c r="N494" s="260"/>
      <c r="O494" s="260"/>
    </row>
    <row r="495" spans="2:15">
      <c r="B495" s="146"/>
      <c r="C495" s="147"/>
      <c r="D495" s="147"/>
      <c r="E495" s="275"/>
      <c r="F495" s="148"/>
      <c r="G495" s="258"/>
      <c r="H495" s="282"/>
      <c r="I495" s="260"/>
      <c r="J495" s="260"/>
      <c r="K495" s="260"/>
      <c r="L495" s="150"/>
      <c r="M495" s="150"/>
      <c r="N495" s="260"/>
      <c r="O495" s="260"/>
    </row>
    <row r="496" spans="2:15">
      <c r="B496" s="146"/>
      <c r="C496" s="147"/>
      <c r="D496" s="147"/>
      <c r="E496" s="275"/>
      <c r="F496" s="148"/>
      <c r="G496" s="258"/>
      <c r="H496" s="282"/>
      <c r="I496" s="260"/>
      <c r="J496" s="260"/>
      <c r="K496" s="260"/>
      <c r="L496" s="150"/>
      <c r="M496" s="150"/>
      <c r="N496" s="260"/>
      <c r="O496" s="260"/>
    </row>
    <row r="497" spans="2:15">
      <c r="B497" s="146"/>
      <c r="C497" s="147"/>
      <c r="D497" s="147"/>
      <c r="E497" s="275"/>
      <c r="F497" s="148"/>
      <c r="G497" s="258"/>
      <c r="H497" s="282"/>
      <c r="I497" s="260"/>
      <c r="J497" s="260"/>
      <c r="K497" s="260"/>
      <c r="L497" s="150"/>
      <c r="M497" s="150"/>
      <c r="N497" s="260"/>
      <c r="O497" s="260"/>
    </row>
    <row r="498" spans="2:15">
      <c r="B498" s="146"/>
      <c r="C498" s="147"/>
      <c r="D498" s="147"/>
      <c r="E498" s="275"/>
      <c r="F498" s="148"/>
      <c r="G498" s="258"/>
      <c r="H498" s="282"/>
      <c r="I498" s="260"/>
      <c r="J498" s="260"/>
      <c r="K498" s="260"/>
      <c r="L498" s="150"/>
      <c r="M498" s="150"/>
      <c r="N498" s="260"/>
      <c r="O498" s="260"/>
    </row>
    <row r="499" spans="2:15">
      <c r="B499" s="146"/>
      <c r="C499" s="147"/>
      <c r="D499" s="147"/>
      <c r="E499" s="275"/>
      <c r="F499" s="148"/>
      <c r="G499" s="258"/>
      <c r="H499" s="282"/>
      <c r="I499" s="260"/>
      <c r="J499" s="260"/>
      <c r="K499" s="260"/>
      <c r="L499" s="150"/>
      <c r="M499" s="150"/>
      <c r="N499" s="260"/>
      <c r="O499" s="260"/>
    </row>
    <row r="500" spans="2:15">
      <c r="B500" s="146"/>
      <c r="C500" s="147"/>
      <c r="D500" s="147"/>
      <c r="E500" s="275"/>
      <c r="F500" s="148"/>
      <c r="G500" s="258"/>
      <c r="H500" s="282"/>
      <c r="I500" s="260"/>
      <c r="J500" s="260"/>
      <c r="K500" s="260"/>
      <c r="L500" s="150"/>
      <c r="M500" s="150"/>
      <c r="N500" s="260"/>
      <c r="O500" s="260"/>
    </row>
    <row r="501" spans="2:15">
      <c r="B501" s="146"/>
      <c r="C501" s="147"/>
      <c r="D501" s="147"/>
      <c r="E501" s="275"/>
      <c r="F501" s="148"/>
      <c r="G501" s="258"/>
      <c r="H501" s="282"/>
      <c r="I501" s="260"/>
      <c r="J501" s="260"/>
      <c r="K501" s="260"/>
      <c r="L501" s="150"/>
      <c r="M501" s="150"/>
      <c r="N501" s="260"/>
      <c r="O501" s="260"/>
    </row>
    <row r="502" spans="2:15">
      <c r="B502" s="146"/>
      <c r="C502" s="147"/>
      <c r="D502" s="147"/>
      <c r="E502" s="275"/>
      <c r="F502" s="148"/>
      <c r="G502" s="258"/>
      <c r="H502" s="282"/>
      <c r="I502" s="260"/>
      <c r="J502" s="260"/>
      <c r="K502" s="260"/>
      <c r="L502" s="150"/>
      <c r="M502" s="150"/>
      <c r="N502" s="260"/>
      <c r="O502" s="260"/>
    </row>
    <row r="503" spans="2:15">
      <c r="B503" s="146"/>
      <c r="C503" s="147"/>
      <c r="D503" s="147"/>
      <c r="E503" s="275"/>
      <c r="F503" s="148"/>
      <c r="G503" s="258"/>
      <c r="H503" s="282"/>
      <c r="I503" s="260"/>
      <c r="J503" s="260"/>
      <c r="K503" s="260"/>
      <c r="L503" s="150"/>
      <c r="M503" s="150"/>
      <c r="N503" s="260"/>
      <c r="O503" s="260"/>
    </row>
    <row r="504" spans="2:15">
      <c r="B504" s="146"/>
      <c r="C504" s="147"/>
      <c r="D504" s="147"/>
      <c r="E504" s="275"/>
      <c r="F504" s="148"/>
      <c r="G504" s="258"/>
      <c r="H504" s="282"/>
      <c r="I504" s="260"/>
      <c r="J504" s="260"/>
      <c r="K504" s="260"/>
      <c r="L504" s="150"/>
      <c r="M504" s="150"/>
      <c r="N504" s="260"/>
      <c r="O504" s="260"/>
    </row>
    <row r="505" spans="2:15">
      <c r="B505" s="146"/>
      <c r="C505" s="147"/>
      <c r="D505" s="147"/>
      <c r="E505" s="275"/>
      <c r="F505" s="148"/>
      <c r="G505" s="258"/>
      <c r="H505" s="282"/>
      <c r="I505" s="260"/>
      <c r="J505" s="260"/>
      <c r="K505" s="260"/>
      <c r="L505" s="150"/>
      <c r="M505" s="150"/>
      <c r="N505" s="260"/>
      <c r="O505" s="260"/>
    </row>
    <row r="506" spans="2:15">
      <c r="B506" s="146"/>
      <c r="C506" s="147"/>
      <c r="D506" s="147"/>
      <c r="E506" s="275"/>
      <c r="F506" s="148"/>
      <c r="G506" s="258"/>
      <c r="H506" s="282"/>
      <c r="I506" s="260"/>
      <c r="J506" s="260"/>
      <c r="K506" s="260"/>
      <c r="L506" s="150"/>
      <c r="M506" s="150"/>
      <c r="N506" s="260"/>
      <c r="O506" s="260"/>
    </row>
    <row r="507" spans="2:15">
      <c r="B507" s="146"/>
      <c r="C507" s="147"/>
      <c r="D507" s="147"/>
      <c r="E507" s="275"/>
      <c r="F507" s="148"/>
      <c r="G507" s="258"/>
      <c r="H507" s="282"/>
      <c r="I507" s="260"/>
      <c r="J507" s="260"/>
      <c r="K507" s="260"/>
      <c r="L507" s="150"/>
      <c r="M507" s="150"/>
      <c r="N507" s="260"/>
      <c r="O507" s="260"/>
    </row>
    <row r="508" spans="2:15">
      <c r="B508" s="146"/>
      <c r="C508" s="147"/>
      <c r="D508" s="147"/>
      <c r="E508" s="275"/>
      <c r="F508" s="148"/>
      <c r="G508" s="258"/>
      <c r="H508" s="282"/>
      <c r="I508" s="260"/>
      <c r="J508" s="260"/>
      <c r="K508" s="260"/>
      <c r="L508" s="150"/>
      <c r="M508" s="150"/>
      <c r="N508" s="260"/>
      <c r="O508" s="260"/>
    </row>
    <row r="509" spans="2:15">
      <c r="B509" s="146"/>
      <c r="C509" s="147"/>
      <c r="D509" s="147"/>
      <c r="E509" s="275"/>
      <c r="F509" s="148"/>
      <c r="G509" s="258"/>
      <c r="H509" s="282"/>
      <c r="I509" s="260"/>
      <c r="J509" s="260"/>
      <c r="K509" s="260"/>
      <c r="L509" s="150"/>
      <c r="M509" s="150"/>
      <c r="N509" s="260"/>
      <c r="O509" s="260"/>
    </row>
  </sheetData>
  <mergeCells count="6">
    <mergeCell ref="B7:D7"/>
    <mergeCell ref="E7:F7"/>
    <mergeCell ref="B2:C2"/>
    <mergeCell ref="D2:N2"/>
    <mergeCell ref="B6:D6"/>
    <mergeCell ref="E6:F6"/>
  </mergeCells>
  <dataValidations count="7">
    <dataValidation type="list" allowBlank="1" showInputMessage="1" showErrorMessage="1" sqref="C10:C471">
      <formula1>RUSU</formula1>
    </dataValidation>
    <dataValidation type="list" allowBlank="1" showInputMessage="1" showErrorMessage="1" sqref="M10:M509">
      <formula1>Dificultad</formula1>
    </dataValidation>
    <dataValidation type="list" allowBlank="1" showInputMessage="1" showErrorMessage="1" sqref="F10:F509">
      <formula1>TipoReqSist</formula1>
    </dataValidation>
    <dataValidation type="list" allowBlank="1" showInputMessage="1" showErrorMessage="1" sqref="I10:I509">
      <formula1>interfaz</formula1>
    </dataValidation>
    <dataValidation type="list" allowBlank="1" showInputMessage="1" showErrorMessage="1" sqref="J10:J509">
      <formula1>TIPODESARROLLO</formula1>
    </dataValidation>
    <dataValidation type="list" allowBlank="1" showInputMessage="1" showErrorMessage="1" sqref="K10:K509">
      <formula1>Situación</formula1>
    </dataValidation>
    <dataValidation type="list" allowBlank="1" showInputMessage="1" showErrorMessage="1" sqref="O10:O509">
      <formula1>Aarquitectura</formula1>
    </dataValidation>
  </dataValidations>
  <pageMargins left="0.7" right="0.7" top="0.75" bottom="0.75" header="0.3" footer="0.3"/>
  <pageSetup orientation="portrait" verticalDpi="0" r:id="rId1"/>
  <drawing r:id="rId2"/>
  <legacyDrawing r:id="rId3"/>
  <oleObjects>
    <mc:AlternateContent xmlns:mc="http://schemas.openxmlformats.org/markup-compatibility/2006">
      <mc:Choice Requires="x14">
        <oleObject progId="PBrush" shapeId="12294" r:id="rId4">
          <objectPr defaultSize="0" autoPict="0" r:id="rId5">
            <anchor moveWithCells="1" sizeWithCells="1">
              <from>
                <xdr:col>1</xdr:col>
                <xdr:colOff>285750</xdr:colOff>
                <xdr:row>1</xdr:row>
                <xdr:rowOff>38100</xdr:rowOff>
              </from>
              <to>
                <xdr:col>2</xdr:col>
                <xdr:colOff>276225</xdr:colOff>
                <xdr:row>1</xdr:row>
                <xdr:rowOff>438150</xdr:rowOff>
              </to>
            </anchor>
          </objectPr>
        </oleObject>
      </mc:Choice>
      <mc:Fallback>
        <oleObject progId="PBrush" shapeId="12294" r:id="rId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2:H108"/>
  <sheetViews>
    <sheetView showGridLines="0" workbookViewId="0">
      <selection activeCell="D10" sqref="D10:D12"/>
    </sheetView>
  </sheetViews>
  <sheetFormatPr baseColWidth="10" defaultColWidth="11.42578125" defaultRowHeight="12.75"/>
  <cols>
    <col min="1" max="1" width="6.5703125" customWidth="1"/>
    <col min="2" max="2" width="18.7109375" customWidth="1"/>
    <col min="3" max="3" width="21.140625" customWidth="1"/>
    <col min="4" max="4" width="32.28515625" customWidth="1"/>
    <col min="7" max="7" width="19.42578125" customWidth="1"/>
    <col min="8" max="8" width="21.140625" customWidth="1"/>
  </cols>
  <sheetData>
    <row r="2" spans="1:8" ht="39.75" customHeight="1">
      <c r="A2" s="126"/>
      <c r="B2" s="202"/>
      <c r="C2" s="386" t="s">
        <v>323</v>
      </c>
      <c r="D2" s="387"/>
      <c r="E2" s="387"/>
      <c r="F2" s="387"/>
      <c r="G2" s="388"/>
      <c r="H2" s="202"/>
    </row>
    <row r="3" spans="1:8" ht="16.5" customHeight="1">
      <c r="A3" s="126"/>
      <c r="B3" s="232"/>
      <c r="C3" s="233"/>
      <c r="D3" s="233"/>
      <c r="E3" s="233"/>
      <c r="F3" s="233"/>
      <c r="G3" s="233"/>
      <c r="H3" s="232"/>
    </row>
    <row r="4" spans="1:8" ht="18">
      <c r="B4" s="141" t="s">
        <v>171</v>
      </c>
    </row>
    <row r="5" spans="1:8" ht="18">
      <c r="B5" s="141"/>
    </row>
    <row r="6" spans="1:8">
      <c r="B6" s="153" t="s">
        <v>145</v>
      </c>
      <c r="C6" s="382" t="str">
        <f>IF(NOT(ISBLANK('Requerimientos de usuario'!E6)),'Requerimientos de usuario'!E6,"  ")</f>
        <v>LP08</v>
      </c>
      <c r="D6" s="383"/>
    </row>
    <row r="7" spans="1:8">
      <c r="A7" s="143"/>
      <c r="B7" s="153" t="s">
        <v>146</v>
      </c>
      <c r="C7" s="382" t="str">
        <f>IF(NOT(ISBLANK('Requerimientos de usuario'!E7)),'Requerimientos de usuario'!E7," ")</f>
        <v>Carla Avendaño</v>
      </c>
      <c r="D7" s="383"/>
      <c r="E7" s="131"/>
      <c r="F7" s="131"/>
      <c r="G7" s="131"/>
    </row>
    <row r="8" spans="1:8" ht="18">
      <c r="B8" s="141"/>
    </row>
    <row r="9" spans="1:8" ht="38.25">
      <c r="A9" s="144"/>
      <c r="B9" s="145" t="s">
        <v>13</v>
      </c>
      <c r="C9" s="145" t="s">
        <v>221</v>
      </c>
      <c r="D9" s="145" t="s">
        <v>172</v>
      </c>
      <c r="E9" s="145" t="s">
        <v>165</v>
      </c>
      <c r="F9" s="145" t="s">
        <v>151</v>
      </c>
      <c r="G9" s="145" t="s">
        <v>152</v>
      </c>
      <c r="H9" s="145" t="s">
        <v>173</v>
      </c>
    </row>
    <row r="10" spans="1:8" ht="25.5">
      <c r="B10" s="146">
        <v>8679</v>
      </c>
      <c r="C10" s="262" t="s">
        <v>440</v>
      </c>
      <c r="D10" s="284" t="s">
        <v>441</v>
      </c>
      <c r="E10" s="262" t="s">
        <v>238</v>
      </c>
      <c r="F10" s="147" t="s">
        <v>154</v>
      </c>
      <c r="G10" s="149">
        <v>42486</v>
      </c>
      <c r="H10" s="265" t="s">
        <v>431</v>
      </c>
    </row>
    <row r="11" spans="1:8" ht="51">
      <c r="B11" s="146">
        <f>+'Requerimientos del sistema'!B14</f>
        <v>8679</v>
      </c>
      <c r="C11" s="262" t="s">
        <v>442</v>
      </c>
      <c r="D11" s="284" t="s">
        <v>495</v>
      </c>
      <c r="E11" s="262" t="s">
        <v>239</v>
      </c>
      <c r="F11" s="147" t="s">
        <v>154</v>
      </c>
      <c r="G11" s="149">
        <v>42486</v>
      </c>
      <c r="H11" s="150" t="s">
        <v>435</v>
      </c>
    </row>
    <row r="12" spans="1:8" ht="25.5">
      <c r="B12" s="146">
        <f>+'Requerimientos del sistema'!B15</f>
        <v>8679</v>
      </c>
      <c r="C12" s="262" t="s">
        <v>496</v>
      </c>
      <c r="D12" s="284" t="s">
        <v>441</v>
      </c>
      <c r="E12" s="262" t="s">
        <v>239</v>
      </c>
      <c r="F12" s="147" t="s">
        <v>154</v>
      </c>
      <c r="G12" s="149">
        <v>42486</v>
      </c>
      <c r="H12" s="150" t="s">
        <v>436</v>
      </c>
    </row>
    <row r="13" spans="1:8">
      <c r="B13" s="146"/>
      <c r="C13" s="147"/>
      <c r="D13" s="147"/>
      <c r="E13" s="147"/>
      <c r="F13" s="147"/>
      <c r="G13" s="149"/>
      <c r="H13" s="150"/>
    </row>
    <row r="14" spans="1:8">
      <c r="B14" s="146"/>
      <c r="C14" s="147"/>
      <c r="D14" s="147"/>
      <c r="E14" s="147"/>
      <c r="F14" s="147"/>
      <c r="G14" s="149"/>
      <c r="H14" s="150"/>
    </row>
    <row r="15" spans="1:8">
      <c r="B15" s="146"/>
      <c r="C15" s="147"/>
      <c r="D15" s="148"/>
      <c r="E15" s="147"/>
      <c r="F15" s="147"/>
      <c r="G15" s="149"/>
      <c r="H15" s="150"/>
    </row>
    <row r="16" spans="1:8">
      <c r="B16" s="146"/>
      <c r="C16" s="147"/>
      <c r="D16" s="148"/>
      <c r="E16" s="147"/>
      <c r="F16" s="147"/>
      <c r="G16" s="149"/>
      <c r="H16" s="149"/>
    </row>
    <row r="17" spans="2:8">
      <c r="B17" s="146"/>
      <c r="C17" s="147"/>
      <c r="D17" s="148"/>
      <c r="E17" s="147"/>
      <c r="F17" s="147"/>
      <c r="G17" s="149"/>
      <c r="H17" s="149"/>
    </row>
    <row r="18" spans="2:8">
      <c r="B18" s="146"/>
      <c r="C18" s="147"/>
      <c r="D18" s="148"/>
      <c r="E18" s="147"/>
      <c r="F18" s="147"/>
      <c r="G18" s="149"/>
      <c r="H18" s="149"/>
    </row>
    <row r="19" spans="2:8">
      <c r="B19" s="146"/>
      <c r="C19" s="147"/>
      <c r="D19" s="148"/>
      <c r="E19" s="147"/>
      <c r="F19" s="147"/>
      <c r="G19" s="149"/>
      <c r="H19" s="149"/>
    </row>
    <row r="20" spans="2:8">
      <c r="B20" s="146"/>
      <c r="C20" s="147"/>
      <c r="D20" s="148"/>
      <c r="E20" s="147"/>
      <c r="F20" s="147"/>
      <c r="G20" s="149"/>
      <c r="H20" s="149"/>
    </row>
    <row r="21" spans="2:8">
      <c r="B21" s="146"/>
      <c r="C21" s="147"/>
      <c r="D21" s="148"/>
      <c r="E21" s="147"/>
      <c r="F21" s="147"/>
      <c r="G21" s="149"/>
      <c r="H21" s="149"/>
    </row>
    <row r="22" spans="2:8">
      <c r="B22" s="146"/>
      <c r="C22" s="147"/>
      <c r="D22" s="148"/>
      <c r="E22" s="147"/>
      <c r="F22" s="147"/>
      <c r="G22" s="149"/>
      <c r="H22" s="149"/>
    </row>
    <row r="23" spans="2:8">
      <c r="B23" s="146"/>
      <c r="C23" s="147"/>
      <c r="D23" s="148"/>
      <c r="E23" s="147"/>
      <c r="F23" s="147"/>
      <c r="G23" s="149"/>
      <c r="H23" s="149"/>
    </row>
    <row r="24" spans="2:8">
      <c r="B24" s="146"/>
      <c r="C24" s="147"/>
      <c r="D24" s="148"/>
      <c r="E24" s="147"/>
      <c r="F24" s="147"/>
      <c r="G24" s="149"/>
      <c r="H24" s="149"/>
    </row>
    <row r="25" spans="2:8">
      <c r="B25" s="146"/>
      <c r="C25" s="147"/>
      <c r="D25" s="148"/>
      <c r="E25" s="147"/>
      <c r="F25" s="147"/>
      <c r="G25" s="149"/>
      <c r="H25" s="149"/>
    </row>
    <row r="26" spans="2:8">
      <c r="B26" s="146"/>
      <c r="C26" s="147"/>
      <c r="D26" s="148"/>
      <c r="E26" s="147"/>
      <c r="F26" s="147"/>
      <c r="G26" s="149"/>
      <c r="H26" s="149"/>
    </row>
    <row r="27" spans="2:8">
      <c r="B27" s="146"/>
      <c r="C27" s="147"/>
      <c r="D27" s="148"/>
      <c r="E27" s="147"/>
      <c r="F27" s="147"/>
      <c r="G27" s="149"/>
      <c r="H27" s="149"/>
    </row>
    <row r="28" spans="2:8">
      <c r="B28" s="146"/>
      <c r="C28" s="147"/>
      <c r="D28" s="148"/>
      <c r="E28" s="147"/>
      <c r="F28" s="147"/>
      <c r="G28" s="149"/>
      <c r="H28" s="149"/>
    </row>
    <row r="29" spans="2:8">
      <c r="B29" s="146"/>
      <c r="C29" s="147"/>
      <c r="D29" s="148"/>
      <c r="E29" s="147"/>
      <c r="F29" s="147"/>
      <c r="G29" s="149"/>
      <c r="H29" s="149"/>
    </row>
    <row r="30" spans="2:8">
      <c r="B30" s="146"/>
      <c r="C30" s="147"/>
      <c r="D30" s="148"/>
      <c r="E30" s="147"/>
      <c r="F30" s="147"/>
      <c r="G30" s="149"/>
      <c r="H30" s="149"/>
    </row>
    <row r="31" spans="2:8">
      <c r="B31" s="146"/>
      <c r="C31" s="147"/>
      <c r="D31" s="148"/>
      <c r="E31" s="147"/>
      <c r="F31" s="147"/>
      <c r="G31" s="149"/>
      <c r="H31" s="149"/>
    </row>
    <row r="32" spans="2:8">
      <c r="B32" s="146"/>
      <c r="C32" s="147"/>
      <c r="D32" s="148"/>
      <c r="E32" s="147"/>
      <c r="F32" s="147"/>
      <c r="G32" s="149"/>
      <c r="H32" s="149"/>
    </row>
    <row r="33" spans="2:8">
      <c r="B33" s="146"/>
      <c r="C33" s="147"/>
      <c r="D33" s="148"/>
      <c r="E33" s="147"/>
      <c r="F33" s="147"/>
      <c r="G33" s="149"/>
      <c r="H33" s="149"/>
    </row>
    <row r="34" spans="2:8">
      <c r="B34" s="146"/>
      <c r="C34" s="147"/>
      <c r="D34" s="148"/>
      <c r="E34" s="147"/>
      <c r="F34" s="147"/>
      <c r="G34" s="149"/>
      <c r="H34" s="149"/>
    </row>
    <row r="35" spans="2:8">
      <c r="B35" s="146"/>
      <c r="C35" s="147"/>
      <c r="D35" s="148"/>
      <c r="E35" s="147"/>
      <c r="F35" s="147"/>
      <c r="G35" s="149"/>
      <c r="H35" s="149"/>
    </row>
    <row r="36" spans="2:8">
      <c r="B36" s="146"/>
      <c r="C36" s="147"/>
      <c r="D36" s="148"/>
      <c r="E36" s="147"/>
      <c r="F36" s="147"/>
      <c r="G36" s="149"/>
      <c r="H36" s="149"/>
    </row>
    <row r="37" spans="2:8">
      <c r="B37" s="146"/>
      <c r="C37" s="147"/>
      <c r="D37" s="148"/>
      <c r="E37" s="147"/>
      <c r="F37" s="147"/>
      <c r="G37" s="149"/>
      <c r="H37" s="149"/>
    </row>
    <row r="38" spans="2:8">
      <c r="B38" s="146"/>
      <c r="C38" s="147"/>
      <c r="D38" s="148"/>
      <c r="E38" s="147"/>
      <c r="F38" s="147"/>
      <c r="G38" s="149"/>
      <c r="H38" s="149"/>
    </row>
    <row r="39" spans="2:8">
      <c r="B39" s="146"/>
      <c r="C39" s="147"/>
      <c r="D39" s="148"/>
      <c r="E39" s="147"/>
      <c r="F39" s="147"/>
      <c r="G39" s="149"/>
      <c r="H39" s="149"/>
    </row>
    <row r="40" spans="2:8">
      <c r="B40" s="146"/>
      <c r="C40" s="147"/>
      <c r="D40" s="148"/>
      <c r="E40" s="147"/>
      <c r="F40" s="147"/>
      <c r="G40" s="149"/>
      <c r="H40" s="149"/>
    </row>
    <row r="41" spans="2:8">
      <c r="B41" s="146"/>
      <c r="C41" s="147"/>
      <c r="D41" s="148"/>
      <c r="E41" s="147"/>
      <c r="F41" s="147"/>
      <c r="G41" s="149"/>
      <c r="H41" s="149"/>
    </row>
    <row r="42" spans="2:8">
      <c r="B42" s="146"/>
      <c r="C42" s="147"/>
      <c r="D42" s="148"/>
      <c r="E42" s="147"/>
      <c r="F42" s="147"/>
      <c r="G42" s="149"/>
      <c r="H42" s="149"/>
    </row>
    <row r="43" spans="2:8">
      <c r="B43" s="146"/>
      <c r="C43" s="147"/>
      <c r="D43" s="148"/>
      <c r="E43" s="147"/>
      <c r="F43" s="147"/>
      <c r="G43" s="149"/>
      <c r="H43" s="149"/>
    </row>
    <row r="44" spans="2:8">
      <c r="B44" s="146"/>
      <c r="C44" s="147"/>
      <c r="D44" s="148"/>
      <c r="E44" s="147"/>
      <c r="F44" s="147"/>
      <c r="G44" s="149"/>
      <c r="H44" s="149"/>
    </row>
    <row r="45" spans="2:8">
      <c r="B45" s="146"/>
      <c r="C45" s="147"/>
      <c r="D45" s="148"/>
      <c r="E45" s="147"/>
      <c r="F45" s="147"/>
      <c r="G45" s="149"/>
      <c r="H45" s="149"/>
    </row>
    <row r="46" spans="2:8">
      <c r="B46" s="146"/>
      <c r="C46" s="147"/>
      <c r="D46" s="148"/>
      <c r="E46" s="147"/>
      <c r="F46" s="147"/>
      <c r="G46" s="149"/>
      <c r="H46" s="149"/>
    </row>
    <row r="47" spans="2:8">
      <c r="B47" s="146"/>
      <c r="C47" s="147"/>
      <c r="D47" s="148"/>
      <c r="E47" s="147"/>
      <c r="F47" s="147"/>
      <c r="G47" s="149"/>
      <c r="H47" s="149"/>
    </row>
    <row r="48" spans="2:8">
      <c r="B48" s="146"/>
      <c r="C48" s="147"/>
      <c r="D48" s="148"/>
      <c r="E48" s="147"/>
      <c r="F48" s="147"/>
      <c r="G48" s="149"/>
      <c r="H48" s="149"/>
    </row>
    <row r="49" spans="2:8">
      <c r="B49" s="146"/>
      <c r="C49" s="147"/>
      <c r="D49" s="148"/>
      <c r="E49" s="147"/>
      <c r="F49" s="147"/>
      <c r="G49" s="149"/>
      <c r="H49" s="149"/>
    </row>
    <row r="50" spans="2:8">
      <c r="B50" s="146"/>
      <c r="C50" s="147"/>
      <c r="D50" s="148"/>
      <c r="E50" s="147"/>
      <c r="F50" s="147"/>
      <c r="G50" s="149"/>
      <c r="H50" s="149"/>
    </row>
    <row r="51" spans="2:8">
      <c r="B51" s="146"/>
      <c r="C51" s="147"/>
      <c r="D51" s="148"/>
      <c r="E51" s="147"/>
      <c r="F51" s="147"/>
      <c r="G51" s="149"/>
      <c r="H51" s="149"/>
    </row>
    <row r="52" spans="2:8">
      <c r="B52" s="146"/>
      <c r="C52" s="147"/>
      <c r="D52" s="148"/>
      <c r="E52" s="147"/>
      <c r="F52" s="147"/>
      <c r="G52" s="149"/>
      <c r="H52" s="149"/>
    </row>
    <row r="53" spans="2:8">
      <c r="B53" s="146"/>
      <c r="C53" s="147"/>
      <c r="D53" s="148"/>
      <c r="E53" s="147"/>
      <c r="F53" s="147"/>
      <c r="G53" s="149"/>
      <c r="H53" s="149"/>
    </row>
    <row r="54" spans="2:8">
      <c r="B54" s="146"/>
      <c r="C54" s="147"/>
      <c r="D54" s="148"/>
      <c r="E54" s="147"/>
      <c r="F54" s="147"/>
      <c r="G54" s="149"/>
      <c r="H54" s="149"/>
    </row>
    <row r="55" spans="2:8">
      <c r="B55" s="146"/>
      <c r="C55" s="147"/>
      <c r="D55" s="148"/>
      <c r="E55" s="147"/>
      <c r="F55" s="147"/>
      <c r="G55" s="149"/>
      <c r="H55" s="149"/>
    </row>
    <row r="56" spans="2:8">
      <c r="B56" s="146"/>
      <c r="C56" s="147"/>
      <c r="D56" s="148"/>
      <c r="E56" s="147"/>
      <c r="F56" s="147"/>
      <c r="G56" s="149"/>
      <c r="H56" s="149"/>
    </row>
    <row r="57" spans="2:8">
      <c r="B57" s="146"/>
      <c r="C57" s="147"/>
      <c r="D57" s="148"/>
      <c r="E57" s="147"/>
      <c r="F57" s="147"/>
      <c r="G57" s="149"/>
      <c r="H57" s="149"/>
    </row>
    <row r="58" spans="2:8">
      <c r="B58" s="146"/>
      <c r="C58" s="147"/>
      <c r="D58" s="148"/>
      <c r="E58" s="147"/>
      <c r="F58" s="147"/>
      <c r="G58" s="149"/>
      <c r="H58" s="149"/>
    </row>
    <row r="59" spans="2:8">
      <c r="B59" s="146"/>
      <c r="C59" s="147"/>
      <c r="D59" s="148"/>
      <c r="E59" s="147"/>
      <c r="F59" s="147"/>
      <c r="G59" s="149"/>
      <c r="H59" s="149"/>
    </row>
    <row r="60" spans="2:8">
      <c r="B60" s="146"/>
      <c r="C60" s="147"/>
      <c r="D60" s="148"/>
      <c r="E60" s="147"/>
      <c r="F60" s="147"/>
      <c r="G60" s="149"/>
      <c r="H60" s="149"/>
    </row>
    <row r="61" spans="2:8">
      <c r="B61" s="146"/>
      <c r="C61" s="147"/>
      <c r="D61" s="148"/>
      <c r="E61" s="147"/>
      <c r="F61" s="147"/>
      <c r="G61" s="149"/>
      <c r="H61" s="149"/>
    </row>
    <row r="62" spans="2:8">
      <c r="B62" s="146"/>
      <c r="C62" s="147"/>
      <c r="D62" s="148"/>
      <c r="E62" s="147"/>
      <c r="F62" s="147"/>
      <c r="G62" s="149"/>
      <c r="H62" s="149"/>
    </row>
    <row r="63" spans="2:8">
      <c r="B63" s="146"/>
      <c r="C63" s="147"/>
      <c r="D63" s="148"/>
      <c r="E63" s="147"/>
      <c r="F63" s="147"/>
      <c r="G63" s="149"/>
      <c r="H63" s="149"/>
    </row>
    <row r="64" spans="2:8">
      <c r="B64" s="146"/>
      <c r="C64" s="147"/>
      <c r="D64" s="148"/>
      <c r="E64" s="147"/>
      <c r="F64" s="147"/>
      <c r="G64" s="149"/>
      <c r="H64" s="149"/>
    </row>
    <row r="65" spans="2:8">
      <c r="B65" s="146"/>
      <c r="C65" s="147"/>
      <c r="D65" s="148"/>
      <c r="E65" s="147"/>
      <c r="F65" s="147"/>
      <c r="G65" s="149"/>
      <c r="H65" s="149"/>
    </row>
    <row r="66" spans="2:8">
      <c r="B66" s="146"/>
      <c r="C66" s="147"/>
      <c r="D66" s="148"/>
      <c r="E66" s="147"/>
      <c r="F66" s="147"/>
      <c r="G66" s="149"/>
      <c r="H66" s="149"/>
    </row>
    <row r="67" spans="2:8">
      <c r="B67" s="146"/>
      <c r="C67" s="147"/>
      <c r="D67" s="148"/>
      <c r="E67" s="147"/>
      <c r="F67" s="147"/>
      <c r="G67" s="149"/>
      <c r="H67" s="149"/>
    </row>
    <row r="68" spans="2:8">
      <c r="B68" s="146"/>
      <c r="C68" s="147"/>
      <c r="D68" s="148"/>
      <c r="E68" s="147"/>
      <c r="F68" s="147"/>
      <c r="G68" s="149"/>
      <c r="H68" s="149"/>
    </row>
    <row r="69" spans="2:8">
      <c r="B69" s="146"/>
      <c r="C69" s="147"/>
      <c r="D69" s="148"/>
      <c r="E69" s="147"/>
      <c r="F69" s="147"/>
      <c r="G69" s="149"/>
      <c r="H69" s="149"/>
    </row>
    <row r="70" spans="2:8">
      <c r="B70" s="146"/>
      <c r="C70" s="147"/>
      <c r="D70" s="148"/>
      <c r="E70" s="147"/>
      <c r="F70" s="147"/>
      <c r="G70" s="149"/>
      <c r="H70" s="149"/>
    </row>
    <row r="71" spans="2:8">
      <c r="B71" s="146"/>
      <c r="C71" s="147"/>
      <c r="D71" s="148"/>
      <c r="E71" s="147"/>
      <c r="F71" s="147"/>
      <c r="G71" s="149"/>
      <c r="H71" s="149"/>
    </row>
    <row r="72" spans="2:8">
      <c r="B72" s="146"/>
      <c r="C72" s="147"/>
      <c r="D72" s="148"/>
      <c r="E72" s="147"/>
      <c r="F72" s="147"/>
      <c r="G72" s="149"/>
      <c r="H72" s="149"/>
    </row>
    <row r="73" spans="2:8">
      <c r="B73" s="146"/>
      <c r="C73" s="147"/>
      <c r="D73" s="148"/>
      <c r="E73" s="147"/>
      <c r="F73" s="147"/>
      <c r="G73" s="149"/>
      <c r="H73" s="149"/>
    </row>
    <row r="74" spans="2:8">
      <c r="B74" s="146"/>
      <c r="C74" s="147"/>
      <c r="D74" s="148"/>
      <c r="E74" s="147"/>
      <c r="F74" s="147"/>
      <c r="G74" s="149"/>
      <c r="H74" s="149"/>
    </row>
    <row r="75" spans="2:8">
      <c r="B75" s="146"/>
      <c r="C75" s="147"/>
      <c r="D75" s="148"/>
      <c r="E75" s="147"/>
      <c r="F75" s="147"/>
      <c r="G75" s="149"/>
      <c r="H75" s="149"/>
    </row>
    <row r="76" spans="2:8">
      <c r="B76" s="146"/>
      <c r="C76" s="147"/>
      <c r="D76" s="148"/>
      <c r="E76" s="147"/>
      <c r="F76" s="147"/>
      <c r="G76" s="149"/>
      <c r="H76" s="149"/>
    </row>
    <row r="77" spans="2:8">
      <c r="B77" s="146"/>
      <c r="C77" s="147"/>
      <c r="D77" s="148"/>
      <c r="E77" s="147"/>
      <c r="F77" s="147"/>
      <c r="G77" s="149"/>
      <c r="H77" s="149"/>
    </row>
    <row r="78" spans="2:8">
      <c r="B78" s="146"/>
      <c r="C78" s="147"/>
      <c r="D78" s="148"/>
      <c r="E78" s="147"/>
      <c r="F78" s="147"/>
      <c r="G78" s="149"/>
      <c r="H78" s="149"/>
    </row>
    <row r="79" spans="2:8">
      <c r="B79" s="146"/>
      <c r="C79" s="147"/>
      <c r="D79" s="148"/>
      <c r="E79" s="147"/>
      <c r="F79" s="147"/>
      <c r="G79" s="149"/>
      <c r="H79" s="149"/>
    </row>
    <row r="80" spans="2:8">
      <c r="B80" s="146"/>
      <c r="C80" s="147"/>
      <c r="D80" s="148"/>
      <c r="E80" s="147"/>
      <c r="F80" s="147"/>
      <c r="G80" s="149"/>
      <c r="H80" s="149"/>
    </row>
    <row r="81" spans="2:8">
      <c r="B81" s="146"/>
      <c r="C81" s="147"/>
      <c r="D81" s="148"/>
      <c r="E81" s="147"/>
      <c r="F81" s="147"/>
      <c r="G81" s="149"/>
      <c r="H81" s="149"/>
    </row>
    <row r="82" spans="2:8">
      <c r="B82" s="146"/>
      <c r="C82" s="147"/>
      <c r="D82" s="148"/>
      <c r="E82" s="147"/>
      <c r="F82" s="147"/>
      <c r="G82" s="149"/>
      <c r="H82" s="149"/>
    </row>
    <row r="83" spans="2:8">
      <c r="B83" s="146"/>
      <c r="C83" s="147"/>
      <c r="D83" s="148"/>
      <c r="E83" s="147"/>
      <c r="F83" s="147"/>
      <c r="G83" s="149"/>
      <c r="H83" s="149"/>
    </row>
    <row r="84" spans="2:8">
      <c r="B84" s="146"/>
      <c r="C84" s="147"/>
      <c r="D84" s="148"/>
      <c r="E84" s="147"/>
      <c r="F84" s="147"/>
      <c r="G84" s="149"/>
      <c r="H84" s="149"/>
    </row>
    <row r="85" spans="2:8">
      <c r="B85" s="146"/>
      <c r="C85" s="147"/>
      <c r="D85" s="148"/>
      <c r="E85" s="147"/>
      <c r="F85" s="147"/>
      <c r="G85" s="149"/>
      <c r="H85" s="149"/>
    </row>
    <row r="86" spans="2:8">
      <c r="B86" s="146"/>
      <c r="C86" s="147"/>
      <c r="D86" s="148"/>
      <c r="E86" s="147"/>
      <c r="F86" s="147"/>
      <c r="G86" s="149"/>
      <c r="H86" s="149"/>
    </row>
    <row r="87" spans="2:8">
      <c r="B87" s="146"/>
      <c r="C87" s="147"/>
      <c r="D87" s="148"/>
      <c r="E87" s="147"/>
      <c r="F87" s="147"/>
      <c r="G87" s="149"/>
      <c r="H87" s="149"/>
    </row>
    <row r="88" spans="2:8">
      <c r="B88" s="146"/>
      <c r="C88" s="147"/>
      <c r="D88" s="148"/>
      <c r="E88" s="147"/>
      <c r="F88" s="147"/>
      <c r="G88" s="149"/>
      <c r="H88" s="149"/>
    </row>
    <row r="89" spans="2:8">
      <c r="B89" s="146"/>
      <c r="C89" s="147"/>
      <c r="D89" s="148"/>
      <c r="E89" s="147"/>
      <c r="F89" s="147"/>
      <c r="G89" s="149"/>
      <c r="H89" s="149"/>
    </row>
    <row r="90" spans="2:8">
      <c r="B90" s="146"/>
      <c r="C90" s="147"/>
      <c r="D90" s="148"/>
      <c r="E90" s="147"/>
      <c r="F90" s="147"/>
      <c r="G90" s="149"/>
      <c r="H90" s="149"/>
    </row>
    <row r="91" spans="2:8">
      <c r="B91" s="146"/>
      <c r="C91" s="147"/>
      <c r="D91" s="148"/>
      <c r="E91" s="147"/>
      <c r="F91" s="147"/>
      <c r="G91" s="149"/>
      <c r="H91" s="149"/>
    </row>
    <row r="92" spans="2:8">
      <c r="B92" s="146"/>
      <c r="C92" s="147"/>
      <c r="D92" s="148"/>
      <c r="E92" s="147"/>
      <c r="F92" s="147"/>
      <c r="G92" s="149"/>
      <c r="H92" s="149"/>
    </row>
    <row r="93" spans="2:8">
      <c r="B93" s="146"/>
      <c r="C93" s="147"/>
      <c r="D93" s="148"/>
      <c r="E93" s="147"/>
      <c r="F93" s="147"/>
      <c r="G93" s="149"/>
      <c r="H93" s="149"/>
    </row>
    <row r="94" spans="2:8">
      <c r="B94" s="146"/>
      <c r="C94" s="147"/>
      <c r="D94" s="148"/>
      <c r="E94" s="147"/>
      <c r="F94" s="147"/>
      <c r="G94" s="149"/>
      <c r="H94" s="149"/>
    </row>
    <row r="95" spans="2:8">
      <c r="B95" s="146"/>
      <c r="C95" s="147"/>
      <c r="D95" s="148"/>
      <c r="E95" s="147"/>
      <c r="F95" s="147"/>
      <c r="G95" s="149"/>
      <c r="H95" s="149"/>
    </row>
    <row r="96" spans="2:8">
      <c r="B96" s="146"/>
      <c r="C96" s="147"/>
      <c r="D96" s="148"/>
      <c r="E96" s="147"/>
      <c r="F96" s="147"/>
      <c r="G96" s="149"/>
      <c r="H96" s="149"/>
    </row>
    <row r="97" spans="2:8">
      <c r="B97" s="146"/>
      <c r="C97" s="147"/>
      <c r="D97" s="148"/>
      <c r="E97" s="147"/>
      <c r="F97" s="147"/>
      <c r="G97" s="149"/>
      <c r="H97" s="149"/>
    </row>
    <row r="98" spans="2:8">
      <c r="B98" s="146"/>
      <c r="C98" s="147"/>
      <c r="D98" s="148"/>
      <c r="E98" s="147"/>
      <c r="F98" s="147"/>
      <c r="G98" s="149"/>
      <c r="H98" s="149"/>
    </row>
    <row r="99" spans="2:8">
      <c r="B99" s="146"/>
      <c r="C99" s="147"/>
      <c r="D99" s="148"/>
      <c r="E99" s="147"/>
      <c r="F99" s="147"/>
      <c r="G99" s="149"/>
      <c r="H99" s="149"/>
    </row>
    <row r="100" spans="2:8">
      <c r="B100" s="146"/>
      <c r="C100" s="147"/>
      <c r="D100" s="148"/>
      <c r="E100" s="147"/>
      <c r="F100" s="147"/>
      <c r="G100" s="149"/>
      <c r="H100" s="149"/>
    </row>
    <row r="101" spans="2:8">
      <c r="B101" s="146"/>
      <c r="C101" s="147"/>
      <c r="D101" s="148"/>
      <c r="E101" s="147"/>
      <c r="F101" s="147"/>
      <c r="G101" s="149"/>
      <c r="H101" s="149"/>
    </row>
    <row r="102" spans="2:8">
      <c r="B102" s="146"/>
      <c r="C102" s="147"/>
      <c r="D102" s="148"/>
      <c r="E102" s="147"/>
      <c r="F102" s="147"/>
      <c r="G102" s="149"/>
      <c r="H102" s="149"/>
    </row>
    <row r="103" spans="2:8">
      <c r="B103" s="146"/>
      <c r="C103" s="147"/>
      <c r="D103" s="148"/>
      <c r="E103" s="147"/>
      <c r="F103" s="147"/>
      <c r="G103" s="149"/>
      <c r="H103" s="149"/>
    </row>
    <row r="104" spans="2:8">
      <c r="B104" s="146"/>
      <c r="C104" s="147"/>
      <c r="D104" s="148"/>
      <c r="E104" s="147"/>
      <c r="F104" s="147"/>
      <c r="G104" s="149"/>
      <c r="H104" s="149"/>
    </row>
    <row r="105" spans="2:8">
      <c r="B105" s="146"/>
      <c r="C105" s="147"/>
      <c r="D105" s="148"/>
      <c r="E105" s="147"/>
      <c r="F105" s="147"/>
      <c r="G105" s="149"/>
      <c r="H105" s="149"/>
    </row>
    <row r="106" spans="2:8">
      <c r="B106" s="146"/>
      <c r="C106" s="147"/>
      <c r="D106" s="148"/>
      <c r="E106" s="147"/>
      <c r="F106" s="147"/>
      <c r="G106" s="149"/>
      <c r="H106" s="149"/>
    </row>
    <row r="107" spans="2:8">
      <c r="B107" s="146"/>
      <c r="C107" s="147"/>
      <c r="D107" s="148"/>
      <c r="E107" s="147"/>
      <c r="F107" s="147"/>
      <c r="G107" s="149"/>
      <c r="H107" s="149"/>
    </row>
    <row r="108" spans="2:8">
      <c r="B108" s="146"/>
      <c r="C108" s="147"/>
      <c r="D108" s="148"/>
      <c r="E108" s="147"/>
      <c r="F108" s="147"/>
      <c r="G108" s="149"/>
      <c r="H108" s="149"/>
    </row>
  </sheetData>
  <mergeCells count="3">
    <mergeCell ref="C7:D7"/>
    <mergeCell ref="C6:D6"/>
    <mergeCell ref="C2:G2"/>
  </mergeCells>
  <dataValidations count="3">
    <dataValidation type="list" allowBlank="1" showInputMessage="1" showErrorMessage="1" sqref="H10:H108">
      <formula1>RUSU</formula1>
    </dataValidation>
    <dataValidation type="list" allowBlank="1" showInputMessage="1" showErrorMessage="1" sqref="E10:E108">
      <formula1>Dificultad</formula1>
    </dataValidation>
    <dataValidation type="list" allowBlank="1" showInputMessage="1" showErrorMessage="1" sqref="F10:F108">
      <formula1>Situación</formula1>
    </dataValidation>
  </dataValidations>
  <pageMargins left="0.7" right="0.7" top="0.75" bottom="0.75" header="0.3" footer="0.3"/>
  <drawing r:id="rId1"/>
  <legacyDrawing r:id="rId2"/>
  <oleObjects>
    <mc:AlternateContent xmlns:mc="http://schemas.openxmlformats.org/markup-compatibility/2006">
      <mc:Choice Requires="x14">
        <oleObject progId="PBrush" shapeId="13315" r:id="rId3">
          <objectPr defaultSize="0" autoPict="0" r:id="rId4">
            <anchor moveWithCells="1" sizeWithCells="1">
              <from>
                <xdr:col>1</xdr:col>
                <xdr:colOff>190500</xdr:colOff>
                <xdr:row>1</xdr:row>
                <xdr:rowOff>9525</xdr:rowOff>
              </from>
              <to>
                <xdr:col>1</xdr:col>
                <xdr:colOff>1085850</xdr:colOff>
                <xdr:row>1</xdr:row>
                <xdr:rowOff>495300</xdr:rowOff>
              </to>
            </anchor>
          </objectPr>
        </oleObject>
      </mc:Choice>
      <mc:Fallback>
        <oleObject progId="PBrush" shapeId="13315" r:id="rId3"/>
      </mc:Fallback>
    </mc:AlternateContent>
  </oleObjec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2:G19"/>
  <sheetViews>
    <sheetView showGridLines="0" workbookViewId="0">
      <selection activeCell="H9" sqref="H9"/>
    </sheetView>
  </sheetViews>
  <sheetFormatPr baseColWidth="10" defaultColWidth="11.42578125" defaultRowHeight="12.75"/>
  <cols>
    <col min="2" max="2" width="20" customWidth="1"/>
    <col min="3" max="3" width="36.5703125" customWidth="1"/>
    <col min="4" max="4" width="17.28515625" customWidth="1"/>
  </cols>
  <sheetData>
    <row r="2" spans="1:7" ht="48.75" customHeight="1">
      <c r="A2" s="126"/>
      <c r="B2" s="202"/>
      <c r="C2" s="212" t="s">
        <v>323</v>
      </c>
      <c r="D2" s="70"/>
      <c r="E2" s="124"/>
      <c r="F2" s="68"/>
      <c r="G2" s="68"/>
    </row>
    <row r="3" spans="1:7" ht="16.5" customHeight="1">
      <c r="A3" s="126"/>
      <c r="B3" s="232"/>
      <c r="C3" s="181"/>
      <c r="D3" s="119"/>
      <c r="E3" s="181"/>
      <c r="F3" s="68"/>
      <c r="G3" s="68"/>
    </row>
    <row r="4" spans="1:7">
      <c r="B4" s="151" t="s">
        <v>375</v>
      </c>
    </row>
    <row r="6" spans="1:7">
      <c r="B6" s="203" t="s">
        <v>145</v>
      </c>
      <c r="C6" s="382" t="str">
        <f>IF(NOT(ISBLANK('Requerimientos de usuario'!E6)),'Requerimientos de usuario'!E6,"  ")</f>
        <v>LP08</v>
      </c>
      <c r="D6" s="383"/>
    </row>
    <row r="7" spans="1:7">
      <c r="A7" s="143"/>
      <c r="B7" s="203" t="s">
        <v>146</v>
      </c>
      <c r="C7" s="382" t="str">
        <f>IF(NOT(ISBLANK('Requerimientos de usuario'!E7)),'Requerimientos de usuario'!E7," ")</f>
        <v>Carla Avendaño</v>
      </c>
      <c r="D7" s="383"/>
      <c r="E7" s="130"/>
      <c r="F7" s="131"/>
      <c r="G7" s="131"/>
    </row>
    <row r="9" spans="1:7" ht="25.5">
      <c r="B9" s="145" t="s">
        <v>174</v>
      </c>
      <c r="C9" s="145" t="s">
        <v>175</v>
      </c>
      <c r="D9" s="145" t="s">
        <v>176</v>
      </c>
    </row>
    <row r="10" spans="1:7">
      <c r="B10" s="147"/>
      <c r="C10" s="284"/>
      <c r="D10" s="276"/>
    </row>
    <row r="11" spans="1:7" hidden="1">
      <c r="B11" s="147"/>
      <c r="C11" s="284"/>
      <c r="D11" s="276"/>
    </row>
    <row r="12" spans="1:7" hidden="1">
      <c r="B12" s="147"/>
      <c r="C12" s="147"/>
      <c r="D12" s="147"/>
    </row>
    <row r="13" spans="1:7">
      <c r="B13" s="147"/>
      <c r="C13" s="147"/>
      <c r="D13" s="147"/>
    </row>
    <row r="14" spans="1:7">
      <c r="B14" s="147"/>
      <c r="C14" s="147"/>
      <c r="D14" s="147"/>
    </row>
    <row r="15" spans="1:7">
      <c r="B15" s="147"/>
      <c r="C15" s="147"/>
      <c r="D15" s="147"/>
    </row>
    <row r="16" spans="1:7">
      <c r="B16" s="148"/>
      <c r="C16" s="148"/>
      <c r="D16" s="148"/>
    </row>
    <row r="17" spans="2:4">
      <c r="B17" s="147"/>
      <c r="C17" s="147"/>
      <c r="D17" s="147"/>
    </row>
    <row r="18" spans="2:4">
      <c r="B18" s="147"/>
      <c r="C18" s="147"/>
      <c r="D18" s="147"/>
    </row>
    <row r="19" spans="2:4">
      <c r="B19" s="147"/>
      <c r="C19" s="147"/>
      <c r="D19" s="147"/>
    </row>
  </sheetData>
  <mergeCells count="2">
    <mergeCell ref="C6:D6"/>
    <mergeCell ref="C7:D7"/>
  </mergeCells>
  <pageMargins left="0.7" right="0.7" top="0.75" bottom="0.75" header="0.3" footer="0.3"/>
  <drawing r:id="rId1"/>
  <legacyDrawing r:id="rId2"/>
  <oleObjects>
    <mc:AlternateContent xmlns:mc="http://schemas.openxmlformats.org/markup-compatibility/2006">
      <mc:Choice Requires="x14">
        <oleObject progId="PBrush" shapeId="14341" r:id="rId3">
          <objectPr defaultSize="0" autoPict="0" r:id="rId4">
            <anchor moveWithCells="1" sizeWithCells="1">
              <from>
                <xdr:col>1</xdr:col>
                <xdr:colOff>257175</xdr:colOff>
                <xdr:row>1</xdr:row>
                <xdr:rowOff>123825</xdr:rowOff>
              </from>
              <to>
                <xdr:col>1</xdr:col>
                <xdr:colOff>1009650</xdr:colOff>
                <xdr:row>1</xdr:row>
                <xdr:rowOff>523875</xdr:rowOff>
              </to>
            </anchor>
          </objectPr>
        </oleObject>
      </mc:Choice>
      <mc:Fallback>
        <oleObject progId="PBrush" shapeId="14341" r:id="rId3"/>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E56"/>
  <sheetViews>
    <sheetView showGridLines="0" topLeftCell="A54" workbookViewId="0">
      <selection activeCell="D17" sqref="D17"/>
    </sheetView>
  </sheetViews>
  <sheetFormatPr baseColWidth="10" defaultColWidth="11.42578125" defaultRowHeight="12.75"/>
  <cols>
    <col min="3" max="3" width="20.140625" customWidth="1"/>
    <col min="4" max="4" width="23.5703125" customWidth="1"/>
    <col min="5" max="5" width="35.42578125" customWidth="1"/>
  </cols>
  <sheetData>
    <row r="1" spans="1:5">
      <c r="A1" s="165"/>
      <c r="B1" s="166"/>
      <c r="C1" s="166"/>
      <c r="D1" s="166"/>
      <c r="E1" s="165"/>
    </row>
    <row r="2" spans="1:5" ht="18">
      <c r="B2" s="141" t="s">
        <v>373</v>
      </c>
    </row>
    <row r="3" spans="1:5">
      <c r="A3" s="165"/>
      <c r="B3" s="166"/>
      <c r="C3" s="166"/>
      <c r="D3" s="166"/>
      <c r="E3" s="165"/>
    </row>
    <row r="4" spans="1:5" ht="25.5">
      <c r="A4" s="167"/>
      <c r="B4" s="145" t="s">
        <v>223</v>
      </c>
      <c r="C4" s="145" t="s">
        <v>224</v>
      </c>
      <c r="D4" s="145" t="s">
        <v>225</v>
      </c>
      <c r="E4" s="145" t="s">
        <v>226</v>
      </c>
    </row>
    <row r="5" spans="1:5">
      <c r="A5" s="165"/>
      <c r="B5" s="389" t="s">
        <v>166</v>
      </c>
      <c r="C5" s="391" t="s">
        <v>227</v>
      </c>
      <c r="D5" s="168" t="s">
        <v>135</v>
      </c>
      <c r="E5" s="393" t="s">
        <v>228</v>
      </c>
    </row>
    <row r="6" spans="1:5">
      <c r="A6" s="165"/>
      <c r="B6" s="390"/>
      <c r="C6" s="392"/>
      <c r="D6" s="168" t="s">
        <v>139</v>
      </c>
      <c r="E6" s="394"/>
    </row>
    <row r="7" spans="1:5">
      <c r="A7" s="165"/>
      <c r="B7" s="395" t="s">
        <v>187</v>
      </c>
      <c r="C7" s="397" t="s">
        <v>229</v>
      </c>
      <c r="D7" s="177" t="s">
        <v>394</v>
      </c>
      <c r="E7" s="399" t="s">
        <v>230</v>
      </c>
    </row>
    <row r="8" spans="1:5">
      <c r="A8" s="165"/>
      <c r="B8" s="396"/>
      <c r="C8" s="398"/>
      <c r="D8" s="206" t="s">
        <v>358</v>
      </c>
      <c r="E8" s="400"/>
    </row>
    <row r="9" spans="1:5">
      <c r="A9" s="165"/>
      <c r="B9" s="396"/>
      <c r="C9" s="398"/>
      <c r="D9" s="206" t="s">
        <v>359</v>
      </c>
      <c r="E9" s="400"/>
    </row>
    <row r="10" spans="1:5">
      <c r="A10" s="165"/>
      <c r="B10" s="396"/>
      <c r="C10" s="398"/>
      <c r="D10" s="206" t="s">
        <v>360</v>
      </c>
      <c r="E10" s="400"/>
    </row>
    <row r="11" spans="1:5">
      <c r="A11" s="165"/>
      <c r="B11" s="396"/>
      <c r="C11" s="398"/>
      <c r="D11" s="206" t="s">
        <v>357</v>
      </c>
      <c r="E11" s="400"/>
    </row>
    <row r="12" spans="1:5">
      <c r="A12" s="165"/>
      <c r="B12" s="396"/>
      <c r="C12" s="398"/>
      <c r="D12" s="169"/>
      <c r="E12" s="400"/>
    </row>
    <row r="13" spans="1:5">
      <c r="A13" s="165"/>
      <c r="B13" s="396"/>
      <c r="C13" s="398"/>
      <c r="D13" s="169"/>
      <c r="E13" s="400"/>
    </row>
    <row r="14" spans="1:5">
      <c r="A14" s="165"/>
      <c r="B14" s="396"/>
      <c r="C14" s="398"/>
      <c r="D14" s="169"/>
      <c r="E14" s="400"/>
    </row>
    <row r="15" spans="1:5">
      <c r="A15" s="165"/>
      <c r="B15" s="396"/>
      <c r="C15" s="398"/>
      <c r="D15" s="169"/>
      <c r="E15" s="400"/>
    </row>
    <row r="16" spans="1:5">
      <c r="A16" s="165"/>
      <c r="B16" s="396"/>
      <c r="C16" s="398"/>
      <c r="D16" s="169"/>
      <c r="E16" s="400"/>
    </row>
    <row r="17" spans="1:5">
      <c r="A17" s="165"/>
      <c r="B17" s="396"/>
      <c r="C17" s="398"/>
      <c r="D17" s="169"/>
      <c r="E17" s="400"/>
    </row>
    <row r="18" spans="1:5">
      <c r="A18" s="165"/>
      <c r="B18" s="396"/>
      <c r="C18" s="398"/>
      <c r="D18" s="169"/>
      <c r="E18" s="400"/>
    </row>
    <row r="19" spans="1:5" ht="140.25">
      <c r="A19" s="165"/>
      <c r="B19" s="169" t="s">
        <v>231</v>
      </c>
      <c r="C19" s="170" t="s">
        <v>232</v>
      </c>
      <c r="D19" s="169" t="s">
        <v>233</v>
      </c>
      <c r="E19" s="171" t="s">
        <v>228</v>
      </c>
    </row>
    <row r="20" spans="1:5" ht="102">
      <c r="A20" s="165"/>
      <c r="B20" s="172" t="s">
        <v>149</v>
      </c>
      <c r="C20" s="170" t="s">
        <v>234</v>
      </c>
      <c r="D20" s="169" t="s">
        <v>233</v>
      </c>
      <c r="E20" s="171" t="s">
        <v>235</v>
      </c>
    </row>
    <row r="21" spans="1:5" ht="76.5">
      <c r="A21" s="165"/>
      <c r="B21" s="169" t="s">
        <v>172</v>
      </c>
      <c r="C21" s="170" t="s">
        <v>211</v>
      </c>
      <c r="D21" s="169" t="s">
        <v>233</v>
      </c>
      <c r="E21" s="171" t="s">
        <v>236</v>
      </c>
    </row>
    <row r="22" spans="1:5">
      <c r="A22" s="165"/>
      <c r="B22" s="401" t="s">
        <v>165</v>
      </c>
      <c r="C22" s="403" t="s">
        <v>237</v>
      </c>
      <c r="D22" s="168" t="s">
        <v>170</v>
      </c>
      <c r="E22" s="393" t="s">
        <v>230</v>
      </c>
    </row>
    <row r="23" spans="1:5">
      <c r="A23" s="165"/>
      <c r="B23" s="396"/>
      <c r="C23" s="404"/>
      <c r="D23" s="168" t="s">
        <v>238</v>
      </c>
      <c r="E23" s="405"/>
    </row>
    <row r="24" spans="1:5">
      <c r="A24" s="165"/>
      <c r="B24" s="402"/>
      <c r="C24" s="392"/>
      <c r="D24" s="168" t="s">
        <v>239</v>
      </c>
      <c r="E24" s="394"/>
    </row>
    <row r="25" spans="1:5" ht="191.25">
      <c r="A25" s="165"/>
      <c r="B25" s="169" t="s">
        <v>161</v>
      </c>
      <c r="C25" s="170" t="s">
        <v>240</v>
      </c>
      <c r="D25" s="169" t="s">
        <v>233</v>
      </c>
      <c r="E25" s="171" t="s">
        <v>228</v>
      </c>
    </row>
    <row r="26" spans="1:5">
      <c r="A26" s="165"/>
      <c r="B26" s="406" t="s">
        <v>241</v>
      </c>
      <c r="C26" s="403" t="s">
        <v>242</v>
      </c>
      <c r="D26" s="168" t="s">
        <v>170</v>
      </c>
      <c r="E26" s="393" t="s">
        <v>243</v>
      </c>
    </row>
    <row r="27" spans="1:5">
      <c r="A27" s="165"/>
      <c r="B27" s="407"/>
      <c r="C27" s="404"/>
      <c r="D27" s="168" t="s">
        <v>238</v>
      </c>
      <c r="E27" s="405"/>
    </row>
    <row r="28" spans="1:5">
      <c r="A28" s="165"/>
      <c r="B28" s="408"/>
      <c r="C28" s="392"/>
      <c r="D28" s="168" t="s">
        <v>239</v>
      </c>
      <c r="E28" s="394"/>
    </row>
    <row r="29" spans="1:5" ht="127.5">
      <c r="A29" s="165"/>
      <c r="B29" s="169" t="s">
        <v>160</v>
      </c>
      <c r="C29" s="170" t="s">
        <v>244</v>
      </c>
      <c r="D29" s="169" t="s">
        <v>233</v>
      </c>
      <c r="E29" s="171" t="s">
        <v>228</v>
      </c>
    </row>
    <row r="30" spans="1:5" ht="51">
      <c r="A30" s="165"/>
      <c r="B30" s="169" t="s">
        <v>245</v>
      </c>
      <c r="C30" s="170" t="s">
        <v>210</v>
      </c>
      <c r="D30" s="169" t="s">
        <v>233</v>
      </c>
      <c r="E30" s="171" t="s">
        <v>236</v>
      </c>
    </row>
    <row r="31" spans="1:5" ht="63.75">
      <c r="A31" s="165"/>
      <c r="B31" s="169" t="s">
        <v>157</v>
      </c>
      <c r="C31" s="170" t="s">
        <v>246</v>
      </c>
      <c r="D31" s="169" t="s">
        <v>233</v>
      </c>
      <c r="E31" s="171" t="s">
        <v>228</v>
      </c>
    </row>
    <row r="32" spans="1:5" ht="102">
      <c r="A32" s="165"/>
      <c r="B32" s="172" t="s">
        <v>148</v>
      </c>
      <c r="C32" s="170" t="s">
        <v>247</v>
      </c>
      <c r="D32" s="169" t="s">
        <v>233</v>
      </c>
      <c r="E32" s="171" t="s">
        <v>248</v>
      </c>
    </row>
    <row r="33" spans="1:5" ht="89.25">
      <c r="A33" s="165"/>
      <c r="B33" s="169" t="s">
        <v>249</v>
      </c>
      <c r="C33" s="170" t="s">
        <v>250</v>
      </c>
      <c r="D33" s="168" t="s">
        <v>251</v>
      </c>
      <c r="E33" s="171" t="s">
        <v>228</v>
      </c>
    </row>
    <row r="34" spans="1:5" ht="76.5">
      <c r="A34" s="165"/>
      <c r="B34" s="168" t="s">
        <v>153</v>
      </c>
      <c r="C34" s="170" t="s">
        <v>207</v>
      </c>
      <c r="D34" s="169" t="s">
        <v>252</v>
      </c>
      <c r="E34" s="171" t="s">
        <v>228</v>
      </c>
    </row>
    <row r="35" spans="1:5" ht="63.75">
      <c r="A35" s="165"/>
      <c r="B35" s="169" t="s">
        <v>253</v>
      </c>
      <c r="C35" s="170" t="s">
        <v>254</v>
      </c>
      <c r="D35" s="169" t="s">
        <v>233</v>
      </c>
      <c r="E35" s="171" t="s">
        <v>228</v>
      </c>
    </row>
    <row r="36" spans="1:5">
      <c r="A36" s="165"/>
      <c r="B36" s="395" t="s">
        <v>255</v>
      </c>
      <c r="C36" s="391" t="s">
        <v>256</v>
      </c>
      <c r="D36" s="168" t="s">
        <v>257</v>
      </c>
      <c r="E36" s="393" t="s">
        <v>235</v>
      </c>
    </row>
    <row r="37" spans="1:5" ht="25.5">
      <c r="A37" s="165"/>
      <c r="B37" s="409"/>
      <c r="C37" s="410"/>
      <c r="D37" s="168" t="s">
        <v>258</v>
      </c>
      <c r="E37" s="411"/>
    </row>
    <row r="38" spans="1:5" ht="127.5">
      <c r="A38" s="165"/>
      <c r="B38" s="169" t="s">
        <v>259</v>
      </c>
      <c r="C38" s="170" t="s">
        <v>260</v>
      </c>
      <c r="D38" s="169" t="s">
        <v>261</v>
      </c>
      <c r="E38" s="171" t="s">
        <v>228</v>
      </c>
    </row>
    <row r="39" spans="1:5" ht="76.5">
      <c r="A39" s="165"/>
      <c r="B39" s="172" t="s">
        <v>150</v>
      </c>
      <c r="C39" s="170" t="s">
        <v>262</v>
      </c>
      <c r="D39" s="169" t="s">
        <v>233</v>
      </c>
      <c r="E39" s="171" t="s">
        <v>235</v>
      </c>
    </row>
    <row r="40" spans="1:5">
      <c r="A40" s="165"/>
      <c r="B40" s="401" t="s">
        <v>151</v>
      </c>
      <c r="C40" s="391" t="s">
        <v>263</v>
      </c>
      <c r="D40" s="168" t="s">
        <v>154</v>
      </c>
      <c r="E40" s="393" t="s">
        <v>230</v>
      </c>
    </row>
    <row r="41" spans="1:5">
      <c r="A41" s="165"/>
      <c r="B41" s="396"/>
      <c r="C41" s="404"/>
      <c r="D41" s="168" t="s">
        <v>264</v>
      </c>
      <c r="E41" s="405"/>
    </row>
    <row r="42" spans="1:5">
      <c r="A42" s="165"/>
      <c r="B42" s="396"/>
      <c r="C42" s="404"/>
      <c r="D42" s="168" t="s">
        <v>265</v>
      </c>
      <c r="E42" s="405"/>
    </row>
    <row r="43" spans="1:5">
      <c r="A43" s="165"/>
      <c r="B43" s="402"/>
      <c r="C43" s="392"/>
      <c r="D43" s="168" t="s">
        <v>266</v>
      </c>
      <c r="E43" s="394"/>
    </row>
    <row r="44" spans="1:5" ht="76.5">
      <c r="A44" s="165"/>
      <c r="B44" s="169" t="s">
        <v>267</v>
      </c>
      <c r="C44" s="170" t="s">
        <v>268</v>
      </c>
      <c r="D44" s="169" t="s">
        <v>233</v>
      </c>
      <c r="E44" s="171" t="s">
        <v>228</v>
      </c>
    </row>
    <row r="45" spans="1:5">
      <c r="A45" s="165"/>
      <c r="B45" s="389" t="s">
        <v>163</v>
      </c>
      <c r="C45" s="391" t="s">
        <v>269</v>
      </c>
      <c r="D45" s="168" t="s">
        <v>169</v>
      </c>
      <c r="E45" s="393" t="s">
        <v>228</v>
      </c>
    </row>
    <row r="46" spans="1:5">
      <c r="A46" s="165"/>
      <c r="B46" s="412"/>
      <c r="C46" s="412"/>
      <c r="D46" s="169" t="s">
        <v>270</v>
      </c>
      <c r="E46" s="414"/>
    </row>
    <row r="47" spans="1:5">
      <c r="A47" s="165"/>
      <c r="B47" s="413"/>
      <c r="C47" s="413"/>
      <c r="D47" s="168" t="s">
        <v>271</v>
      </c>
      <c r="E47" s="415"/>
    </row>
    <row r="48" spans="1:5">
      <c r="A48" s="165"/>
      <c r="B48" s="389" t="s">
        <v>272</v>
      </c>
      <c r="C48" s="403" t="s">
        <v>273</v>
      </c>
      <c r="D48" s="168" t="s">
        <v>274</v>
      </c>
      <c r="E48" s="393" t="s">
        <v>228</v>
      </c>
    </row>
    <row r="49" spans="1:5">
      <c r="A49" s="165"/>
      <c r="B49" s="390"/>
      <c r="C49" s="392"/>
      <c r="D49" s="168" t="s">
        <v>275</v>
      </c>
      <c r="E49" s="394"/>
    </row>
    <row r="50" spans="1:5">
      <c r="A50" s="165"/>
      <c r="B50" s="389" t="s">
        <v>159</v>
      </c>
      <c r="C50" s="391" t="s">
        <v>276</v>
      </c>
      <c r="D50" s="168" t="s">
        <v>167</v>
      </c>
      <c r="E50" s="393" t="s">
        <v>228</v>
      </c>
    </row>
    <row r="51" spans="1:5">
      <c r="A51" s="165"/>
      <c r="B51" s="416"/>
      <c r="C51" s="404"/>
      <c r="D51" s="168" t="s">
        <v>277</v>
      </c>
      <c r="E51" s="405"/>
    </row>
    <row r="52" spans="1:5">
      <c r="A52" s="165"/>
      <c r="B52" s="416"/>
      <c r="C52" s="404"/>
      <c r="D52" s="168" t="s">
        <v>278</v>
      </c>
      <c r="E52" s="405"/>
    </row>
    <row r="53" spans="1:5" ht="20.25" customHeight="1">
      <c r="A53" s="165"/>
      <c r="B53" s="417" t="s">
        <v>162</v>
      </c>
      <c r="C53" s="419" t="s">
        <v>279</v>
      </c>
      <c r="D53" s="168" t="s">
        <v>168</v>
      </c>
      <c r="E53" s="421" t="s">
        <v>248</v>
      </c>
    </row>
    <row r="54" spans="1:5" ht="20.25" customHeight="1">
      <c r="A54" s="165"/>
      <c r="B54" s="418"/>
      <c r="C54" s="420"/>
      <c r="D54" s="168" t="s">
        <v>280</v>
      </c>
      <c r="E54" s="422"/>
    </row>
    <row r="55" spans="1:5" ht="20.25" customHeight="1">
      <c r="A55" s="165"/>
      <c r="B55" s="418"/>
      <c r="C55" s="420"/>
      <c r="D55" s="168" t="s">
        <v>281</v>
      </c>
      <c r="E55" s="422"/>
    </row>
    <row r="56" spans="1:5" ht="344.25">
      <c r="A56" s="165"/>
      <c r="B56" s="168" t="s">
        <v>213</v>
      </c>
      <c r="C56" s="173" t="s">
        <v>282</v>
      </c>
      <c r="D56" s="169" t="s">
        <v>283</v>
      </c>
      <c r="E56" s="171" t="s">
        <v>230</v>
      </c>
    </row>
  </sheetData>
  <mergeCells count="30">
    <mergeCell ref="B50:B52"/>
    <mergeCell ref="C50:C52"/>
    <mergeCell ref="E50:E52"/>
    <mergeCell ref="B53:B55"/>
    <mergeCell ref="C53:C55"/>
    <mergeCell ref="E53:E55"/>
    <mergeCell ref="B45:B47"/>
    <mergeCell ref="C45:C47"/>
    <mergeCell ref="E45:E47"/>
    <mergeCell ref="B48:B49"/>
    <mergeCell ref="C48:C49"/>
    <mergeCell ref="E48:E49"/>
    <mergeCell ref="B36:B37"/>
    <mergeCell ref="C36:C37"/>
    <mergeCell ref="E36:E37"/>
    <mergeCell ref="B40:B43"/>
    <mergeCell ref="C40:C43"/>
    <mergeCell ref="E40:E43"/>
    <mergeCell ref="B22:B24"/>
    <mergeCell ref="C22:C24"/>
    <mergeCell ref="E22:E24"/>
    <mergeCell ref="B26:B28"/>
    <mergeCell ref="C26:C28"/>
    <mergeCell ref="E26:E28"/>
    <mergeCell ref="B5:B6"/>
    <mergeCell ref="C5:C6"/>
    <mergeCell ref="E5:E6"/>
    <mergeCell ref="B7:B18"/>
    <mergeCell ref="C7:C18"/>
    <mergeCell ref="E7:E18"/>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28"/>
  <sheetViews>
    <sheetView showGridLines="0" workbookViewId="0">
      <selection activeCell="F12" sqref="F12"/>
    </sheetView>
  </sheetViews>
  <sheetFormatPr baseColWidth="10" defaultColWidth="11.42578125" defaultRowHeight="12.75"/>
  <cols>
    <col min="2" max="2" width="30.42578125" customWidth="1"/>
    <col min="3" max="3" width="26.85546875" bestFit="1" customWidth="1"/>
    <col min="4" max="4" width="40" customWidth="1"/>
  </cols>
  <sheetData>
    <row r="1" spans="1:4">
      <c r="A1" s="165"/>
      <c r="B1" s="165"/>
      <c r="C1" s="165"/>
      <c r="D1" s="165"/>
    </row>
    <row r="2" spans="1:4" ht="18">
      <c r="B2" s="141" t="s">
        <v>374</v>
      </c>
    </row>
    <row r="3" spans="1:4">
      <c r="A3" s="165"/>
      <c r="B3" s="165"/>
      <c r="C3" s="165"/>
      <c r="D3" s="165"/>
    </row>
    <row r="4" spans="1:4">
      <c r="A4" s="165"/>
      <c r="B4" s="145" t="s">
        <v>223</v>
      </c>
      <c r="C4" s="145" t="s">
        <v>284</v>
      </c>
      <c r="D4" s="145" t="s">
        <v>285</v>
      </c>
    </row>
    <row r="5" spans="1:4" ht="51">
      <c r="A5" s="174"/>
      <c r="B5" s="175" t="s">
        <v>165</v>
      </c>
      <c r="C5" s="176" t="s">
        <v>170</v>
      </c>
      <c r="D5" s="173" t="s">
        <v>286</v>
      </c>
    </row>
    <row r="6" spans="1:4" ht="63.75">
      <c r="A6" s="165"/>
      <c r="B6" s="175" t="s">
        <v>165</v>
      </c>
      <c r="C6" s="176" t="s">
        <v>238</v>
      </c>
      <c r="D6" s="173" t="s">
        <v>287</v>
      </c>
    </row>
    <row r="7" spans="1:4">
      <c r="A7" s="165"/>
      <c r="B7" s="175" t="s">
        <v>165</v>
      </c>
      <c r="C7" s="176" t="s">
        <v>239</v>
      </c>
      <c r="D7" s="170" t="s">
        <v>288</v>
      </c>
    </row>
    <row r="8" spans="1:4" ht="38.25">
      <c r="A8" s="165"/>
      <c r="B8" s="175" t="s">
        <v>241</v>
      </c>
      <c r="C8" s="175" t="s">
        <v>170</v>
      </c>
      <c r="D8" s="173" t="s">
        <v>289</v>
      </c>
    </row>
    <row r="9" spans="1:4" ht="38.25">
      <c r="A9" s="165"/>
      <c r="B9" s="175" t="s">
        <v>241</v>
      </c>
      <c r="C9" s="175" t="s">
        <v>238</v>
      </c>
      <c r="D9" s="173" t="s">
        <v>290</v>
      </c>
    </row>
    <row r="10" spans="1:4" ht="51">
      <c r="A10" s="165"/>
      <c r="B10" s="175" t="s">
        <v>241</v>
      </c>
      <c r="C10" s="175" t="s">
        <v>239</v>
      </c>
      <c r="D10" s="173" t="s">
        <v>291</v>
      </c>
    </row>
    <row r="11" spans="1:4" ht="25.5">
      <c r="A11" s="165"/>
      <c r="B11" s="175" t="s">
        <v>255</v>
      </c>
      <c r="C11" s="175" t="s">
        <v>292</v>
      </c>
      <c r="D11" s="170" t="s">
        <v>293</v>
      </c>
    </row>
    <row r="12" spans="1:4" ht="38.25">
      <c r="A12" s="165"/>
      <c r="B12" s="175" t="s">
        <v>255</v>
      </c>
      <c r="C12" s="175" t="s">
        <v>294</v>
      </c>
      <c r="D12" s="170" t="s">
        <v>295</v>
      </c>
    </row>
    <row r="13" spans="1:4" ht="25.5">
      <c r="A13" s="165"/>
      <c r="B13" s="175" t="s">
        <v>151</v>
      </c>
      <c r="C13" s="175" t="s">
        <v>154</v>
      </c>
      <c r="D13" s="170" t="s">
        <v>296</v>
      </c>
    </row>
    <row r="14" spans="1:4" ht="25.5">
      <c r="A14" s="165"/>
      <c r="B14" s="175" t="s">
        <v>151</v>
      </c>
      <c r="C14" s="175" t="s">
        <v>264</v>
      </c>
      <c r="D14" s="170" t="s">
        <v>297</v>
      </c>
    </row>
    <row r="15" spans="1:4" ht="30.75" customHeight="1">
      <c r="A15" s="165"/>
      <c r="B15" s="175" t="s">
        <v>151</v>
      </c>
      <c r="C15" s="175" t="s">
        <v>265</v>
      </c>
      <c r="D15" s="170" t="s">
        <v>298</v>
      </c>
    </row>
    <row r="16" spans="1:4" ht="25.5">
      <c r="A16" s="165"/>
      <c r="B16" s="175" t="s">
        <v>151</v>
      </c>
      <c r="C16" s="175" t="s">
        <v>266</v>
      </c>
      <c r="D16" s="170" t="s">
        <v>299</v>
      </c>
    </row>
    <row r="17" spans="1:4" ht="25.5">
      <c r="A17" s="165"/>
      <c r="B17" s="175" t="s">
        <v>163</v>
      </c>
      <c r="C17" s="175" t="s">
        <v>169</v>
      </c>
      <c r="D17" s="170" t="s">
        <v>300</v>
      </c>
    </row>
    <row r="18" spans="1:4" ht="25.5">
      <c r="A18" s="165"/>
      <c r="B18" s="175" t="s">
        <v>163</v>
      </c>
      <c r="C18" s="175" t="s">
        <v>270</v>
      </c>
      <c r="D18" s="170" t="s">
        <v>301</v>
      </c>
    </row>
    <row r="19" spans="1:4" ht="25.5">
      <c r="A19" s="165"/>
      <c r="B19" s="175" t="s">
        <v>163</v>
      </c>
      <c r="C19" s="176" t="s">
        <v>302</v>
      </c>
      <c r="D19" s="173" t="s">
        <v>303</v>
      </c>
    </row>
    <row r="20" spans="1:4" ht="51">
      <c r="A20" s="165"/>
      <c r="B20" s="175" t="s">
        <v>159</v>
      </c>
      <c r="C20" s="175" t="s">
        <v>167</v>
      </c>
      <c r="D20" s="173" t="s">
        <v>304</v>
      </c>
    </row>
    <row r="21" spans="1:4" ht="65.25" customHeight="1">
      <c r="A21" s="165"/>
      <c r="B21" s="175" t="s">
        <v>159</v>
      </c>
      <c r="C21" s="176" t="s">
        <v>277</v>
      </c>
      <c r="D21" s="173" t="s">
        <v>305</v>
      </c>
    </row>
    <row r="22" spans="1:4" ht="38.25">
      <c r="A22" s="165"/>
      <c r="B22" s="175" t="s">
        <v>159</v>
      </c>
      <c r="C22" s="176" t="s">
        <v>278</v>
      </c>
      <c r="D22" s="170" t="s">
        <v>306</v>
      </c>
    </row>
    <row r="23" spans="1:4">
      <c r="A23" s="165"/>
      <c r="B23" s="176" t="s">
        <v>162</v>
      </c>
      <c r="C23" s="176" t="s">
        <v>168</v>
      </c>
      <c r="D23" s="173" t="s">
        <v>307</v>
      </c>
    </row>
    <row r="24" spans="1:4" ht="25.5">
      <c r="A24" s="165"/>
      <c r="B24" s="175" t="s">
        <v>162</v>
      </c>
      <c r="C24" s="176" t="s">
        <v>280</v>
      </c>
      <c r="D24" s="173" t="s">
        <v>308</v>
      </c>
    </row>
    <row r="25" spans="1:4" ht="29.25" customHeight="1">
      <c r="A25" s="165"/>
      <c r="B25" s="175" t="s">
        <v>162</v>
      </c>
      <c r="C25" s="176" t="s">
        <v>281</v>
      </c>
      <c r="D25" s="173" t="s">
        <v>309</v>
      </c>
    </row>
    <row r="26" spans="1:4">
      <c r="A26" s="165"/>
      <c r="B26" s="174"/>
      <c r="C26" s="165"/>
      <c r="D26" s="165"/>
    </row>
    <row r="27" spans="1:4">
      <c r="A27" s="165"/>
      <c r="B27" s="165"/>
      <c r="C27" s="165"/>
      <c r="D27" s="165"/>
    </row>
    <row r="28" spans="1:4">
      <c r="A28" s="165"/>
      <c r="B28" s="165"/>
      <c r="C28" s="165"/>
      <c r="D28" s="165"/>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2:G168"/>
  <sheetViews>
    <sheetView showGridLines="0" zoomScale="80" zoomScaleNormal="80" workbookViewId="0">
      <selection activeCell="G22" sqref="G22"/>
    </sheetView>
  </sheetViews>
  <sheetFormatPr baseColWidth="10" defaultColWidth="11.42578125" defaultRowHeight="12.75"/>
  <cols>
    <col min="1" max="1" width="2.7109375" customWidth="1"/>
    <col min="2" max="2" width="26.7109375" customWidth="1"/>
    <col min="3" max="3" width="9.140625"/>
    <col min="4" max="4" width="20" bestFit="1" customWidth="1"/>
    <col min="7" max="7" width="28.28515625" customWidth="1"/>
  </cols>
  <sheetData>
    <row r="2" spans="2:7">
      <c r="B2" s="4" t="s">
        <v>62</v>
      </c>
    </row>
    <row r="3" spans="2:7">
      <c r="B3" s="5"/>
    </row>
    <row r="4" spans="2:7">
      <c r="B4" s="35" t="s">
        <v>64</v>
      </c>
      <c r="C4" s="6">
        <v>5</v>
      </c>
    </row>
    <row r="5" spans="2:7">
      <c r="B5" s="35" t="s">
        <v>65</v>
      </c>
      <c r="C5" s="6">
        <v>40</v>
      </c>
    </row>
    <row r="6" spans="2:7">
      <c r="B6" s="5"/>
    </row>
    <row r="7" spans="2:7">
      <c r="B7" s="5"/>
    </row>
    <row r="8" spans="2:7">
      <c r="B8" s="35" t="s">
        <v>17</v>
      </c>
      <c r="D8" s="35" t="s">
        <v>27</v>
      </c>
      <c r="G8" s="196" t="s">
        <v>142</v>
      </c>
    </row>
    <row r="9" spans="2:7">
      <c r="B9" s="6" t="s">
        <v>18</v>
      </c>
      <c r="D9" s="177" t="s">
        <v>437</v>
      </c>
      <c r="G9" s="121" t="s">
        <v>143</v>
      </c>
    </row>
    <row r="10" spans="2:7">
      <c r="B10" s="6" t="s">
        <v>19</v>
      </c>
      <c r="D10" s="206" t="s">
        <v>358</v>
      </c>
      <c r="G10" s="121" t="s">
        <v>422</v>
      </c>
    </row>
    <row r="11" spans="2:7">
      <c r="B11" s="6"/>
      <c r="D11" s="206" t="s">
        <v>359</v>
      </c>
      <c r="G11" s="121" t="s">
        <v>423</v>
      </c>
    </row>
    <row r="12" spans="2:7">
      <c r="B12" s="122"/>
      <c r="D12" s="206" t="s">
        <v>360</v>
      </c>
      <c r="G12" s="121" t="s">
        <v>395</v>
      </c>
    </row>
    <row r="13" spans="2:7">
      <c r="B13" s="5"/>
      <c r="D13" s="177" t="s">
        <v>438</v>
      </c>
      <c r="G13" s="121" t="s">
        <v>361</v>
      </c>
    </row>
    <row r="14" spans="2:7">
      <c r="B14" s="35" t="s">
        <v>45</v>
      </c>
      <c r="D14" s="177" t="s">
        <v>439</v>
      </c>
      <c r="G14" s="121" t="s">
        <v>428</v>
      </c>
    </row>
    <row r="15" spans="2:7">
      <c r="B15" s="177" t="s">
        <v>310</v>
      </c>
      <c r="G15" s="236"/>
    </row>
    <row r="16" spans="2:7">
      <c r="B16" s="177" t="s">
        <v>311</v>
      </c>
      <c r="G16" s="235"/>
    </row>
    <row r="17" spans="2:7">
      <c r="B17" s="177" t="s">
        <v>312</v>
      </c>
      <c r="G17" s="236"/>
    </row>
    <row r="18" spans="2:7">
      <c r="B18" s="177" t="s">
        <v>396</v>
      </c>
      <c r="G18" s="236"/>
    </row>
    <row r="19" spans="2:7">
      <c r="B19" s="5"/>
      <c r="G19" s="236"/>
    </row>
    <row r="20" spans="2:7" ht="13.5" customHeight="1">
      <c r="B20" s="35" t="s">
        <v>30</v>
      </c>
      <c r="G20" s="236"/>
    </row>
    <row r="21" spans="2:7" ht="13.5" customHeight="1">
      <c r="B21" s="6" t="s">
        <v>29</v>
      </c>
      <c r="D21" s="35" t="s">
        <v>90</v>
      </c>
      <c r="G21" s="236"/>
    </row>
    <row r="22" spans="2:7" ht="13.5" customHeight="1">
      <c r="B22" s="5"/>
      <c r="D22" s="6" t="s">
        <v>433</v>
      </c>
      <c r="G22" s="236"/>
    </row>
    <row r="23" spans="2:7">
      <c r="B23" s="35" t="s">
        <v>34</v>
      </c>
      <c r="G23" s="236"/>
    </row>
    <row r="24" spans="2:7">
      <c r="B24" s="2" t="s">
        <v>37</v>
      </c>
      <c r="G24" s="237"/>
    </row>
    <row r="25" spans="2:7">
      <c r="B25" s="2" t="s">
        <v>104</v>
      </c>
      <c r="D25" s="35" t="s">
        <v>28</v>
      </c>
      <c r="G25" s="236"/>
    </row>
    <row r="26" spans="2:7">
      <c r="B26" s="2" t="s">
        <v>35</v>
      </c>
      <c r="D26" s="121" t="s">
        <v>432</v>
      </c>
    </row>
    <row r="27" spans="2:7">
      <c r="B27" s="2" t="s">
        <v>85</v>
      </c>
      <c r="D27" s="121" t="s">
        <v>422</v>
      </c>
    </row>
    <row r="28" spans="2:7">
      <c r="B28" s="2" t="s">
        <v>85</v>
      </c>
      <c r="D28" s="121" t="s">
        <v>423</v>
      </c>
    </row>
    <row r="29" spans="2:7">
      <c r="B29" s="2" t="s">
        <v>85</v>
      </c>
      <c r="D29" s="121" t="s">
        <v>361</v>
      </c>
    </row>
    <row r="30" spans="2:7">
      <c r="B30" s="2" t="s">
        <v>85</v>
      </c>
      <c r="G30" s="195" t="s">
        <v>313</v>
      </c>
    </row>
    <row r="31" spans="2:7">
      <c r="B31" s="62"/>
      <c r="G31" s="178" t="s">
        <v>397</v>
      </c>
    </row>
    <row r="32" spans="2:7">
      <c r="B32" s="62"/>
      <c r="D32" s="35" t="s">
        <v>127</v>
      </c>
      <c r="G32" s="178" t="s">
        <v>398</v>
      </c>
    </row>
    <row r="33" spans="2:7">
      <c r="B33" s="62"/>
      <c r="D33" s="59" t="s">
        <v>128</v>
      </c>
      <c r="G33" s="178" t="s">
        <v>399</v>
      </c>
    </row>
    <row r="34" spans="2:7">
      <c r="D34" s="239"/>
      <c r="G34" s="178" t="s">
        <v>400</v>
      </c>
    </row>
    <row r="35" spans="2:7">
      <c r="D35" s="239"/>
      <c r="G35" s="178" t="s">
        <v>401</v>
      </c>
    </row>
    <row r="36" spans="2:7">
      <c r="B36" s="423" t="s">
        <v>84</v>
      </c>
      <c r="G36" s="178" t="s">
        <v>402</v>
      </c>
    </row>
    <row r="37" spans="2:7">
      <c r="B37" s="423"/>
      <c r="G37" s="178" t="s">
        <v>403</v>
      </c>
    </row>
    <row r="38" spans="2:7">
      <c r="B38" s="3" t="s">
        <v>78</v>
      </c>
      <c r="G38" s="178" t="s">
        <v>404</v>
      </c>
    </row>
    <row r="39" spans="2:7">
      <c r="B39" s="3" t="s">
        <v>28</v>
      </c>
      <c r="G39" s="178" t="s">
        <v>405</v>
      </c>
    </row>
    <row r="40" spans="2:7">
      <c r="B40" s="3" t="s">
        <v>86</v>
      </c>
      <c r="G40" s="178" t="s">
        <v>406</v>
      </c>
    </row>
    <row r="41" spans="2:7">
      <c r="B41" s="3" t="s">
        <v>82</v>
      </c>
      <c r="G41" s="178" t="s">
        <v>407</v>
      </c>
    </row>
    <row r="42" spans="2:7">
      <c r="B42" s="198" t="s">
        <v>346</v>
      </c>
      <c r="G42" s="178" t="s">
        <v>408</v>
      </c>
    </row>
    <row r="43" spans="2:7">
      <c r="B43" s="3" t="s">
        <v>87</v>
      </c>
      <c r="G43" s="178" t="s">
        <v>409</v>
      </c>
    </row>
    <row r="44" spans="2:7">
      <c r="B44" s="198" t="s">
        <v>347</v>
      </c>
      <c r="G44" s="178" t="s">
        <v>410</v>
      </c>
    </row>
    <row r="45" spans="2:7">
      <c r="B45" s="198" t="s">
        <v>348</v>
      </c>
      <c r="G45" s="178" t="s">
        <v>411</v>
      </c>
    </row>
    <row r="46" spans="2:7">
      <c r="B46" s="2"/>
      <c r="G46" s="178" t="s">
        <v>412</v>
      </c>
    </row>
    <row r="47" spans="2:7">
      <c r="B47" s="2"/>
      <c r="G47" s="178" t="s">
        <v>413</v>
      </c>
    </row>
    <row r="48" spans="2:7">
      <c r="B48" s="2"/>
      <c r="G48" s="178" t="s">
        <v>414</v>
      </c>
    </row>
    <row r="49" spans="2:7">
      <c r="G49" s="178" t="s">
        <v>415</v>
      </c>
    </row>
    <row r="50" spans="2:7">
      <c r="G50" s="178" t="s">
        <v>416</v>
      </c>
    </row>
    <row r="51" spans="2:7">
      <c r="B51" s="35" t="s">
        <v>141</v>
      </c>
      <c r="G51" s="178" t="s">
        <v>417</v>
      </c>
    </row>
    <row r="52" spans="2:7">
      <c r="B52" s="3" t="s">
        <v>88</v>
      </c>
      <c r="G52" s="178" t="s">
        <v>418</v>
      </c>
    </row>
    <row r="53" spans="2:7">
      <c r="B53" s="3" t="s">
        <v>89</v>
      </c>
      <c r="G53" s="178" t="s">
        <v>419</v>
      </c>
    </row>
    <row r="54" spans="2:7">
      <c r="B54" s="3" t="s">
        <v>85</v>
      </c>
      <c r="G54" s="178" t="s">
        <v>420</v>
      </c>
    </row>
    <row r="55" spans="2:7">
      <c r="B55" s="5"/>
      <c r="G55" s="238"/>
    </row>
    <row r="56" spans="2:7">
      <c r="B56" s="35" t="s">
        <v>105</v>
      </c>
      <c r="G56" s="238"/>
    </row>
    <row r="57" spans="2:7">
      <c r="B57" s="8">
        <v>1</v>
      </c>
      <c r="G57" s="238"/>
    </row>
    <row r="58" spans="2:7">
      <c r="B58" s="8">
        <v>2</v>
      </c>
      <c r="G58" s="238"/>
    </row>
    <row r="59" spans="2:7">
      <c r="B59" s="8">
        <v>3</v>
      </c>
      <c r="G59" s="238"/>
    </row>
    <row r="60" spans="2:7">
      <c r="B60" s="8">
        <v>4</v>
      </c>
      <c r="G60" s="238"/>
    </row>
    <row r="61" spans="2:7">
      <c r="B61" s="8">
        <v>5</v>
      </c>
      <c r="G61" s="238"/>
    </row>
    <row r="62" spans="2:7">
      <c r="B62" s="8">
        <v>6</v>
      </c>
      <c r="G62" s="238"/>
    </row>
    <row r="63" spans="2:7">
      <c r="B63" s="8">
        <v>7</v>
      </c>
      <c r="G63" s="238"/>
    </row>
    <row r="64" spans="2:7">
      <c r="B64" s="8">
        <v>8</v>
      </c>
      <c r="G64" s="238"/>
    </row>
    <row r="65" spans="2:7">
      <c r="B65" s="8">
        <v>9</v>
      </c>
      <c r="G65" s="238"/>
    </row>
    <row r="66" spans="2:7">
      <c r="B66" s="8">
        <v>10</v>
      </c>
      <c r="G66" s="238"/>
    </row>
    <row r="67" spans="2:7">
      <c r="G67" s="238"/>
    </row>
    <row r="68" spans="2:7">
      <c r="B68" s="35" t="s">
        <v>106</v>
      </c>
      <c r="G68" s="238"/>
    </row>
    <row r="69" spans="2:7">
      <c r="B69" s="9">
        <v>0.01</v>
      </c>
      <c r="G69" s="238"/>
    </row>
    <row r="70" spans="2:7">
      <c r="B70" s="9">
        <v>0.02</v>
      </c>
      <c r="G70" s="238"/>
    </row>
    <row r="71" spans="2:7">
      <c r="B71" s="9">
        <v>0.03</v>
      </c>
      <c r="G71" s="238"/>
    </row>
    <row r="72" spans="2:7">
      <c r="B72" s="9">
        <v>0.04</v>
      </c>
      <c r="G72" s="238"/>
    </row>
    <row r="73" spans="2:7">
      <c r="B73" s="9">
        <v>0.05</v>
      </c>
      <c r="G73" s="238"/>
    </row>
    <row r="74" spans="2:7">
      <c r="B74" s="9">
        <v>0.06</v>
      </c>
      <c r="G74" s="238"/>
    </row>
    <row r="75" spans="2:7">
      <c r="B75" s="9">
        <v>7.0000000000000007E-2</v>
      </c>
      <c r="G75" s="238"/>
    </row>
    <row r="76" spans="2:7">
      <c r="B76" s="9">
        <v>0.08</v>
      </c>
      <c r="G76" s="238"/>
    </row>
    <row r="77" spans="2:7">
      <c r="B77" s="9">
        <v>0.09</v>
      </c>
      <c r="G77" s="238"/>
    </row>
    <row r="78" spans="2:7">
      <c r="B78" s="9">
        <v>0.1</v>
      </c>
      <c r="G78" s="238"/>
    </row>
    <row r="79" spans="2:7">
      <c r="B79" s="9">
        <v>0.11</v>
      </c>
      <c r="G79" s="238"/>
    </row>
    <row r="80" spans="2:7">
      <c r="B80" s="9">
        <v>0.12</v>
      </c>
      <c r="G80" s="238"/>
    </row>
    <row r="81" spans="2:7">
      <c r="B81" s="9">
        <v>0.13</v>
      </c>
      <c r="G81" s="238"/>
    </row>
    <row r="82" spans="2:7">
      <c r="B82" s="9">
        <v>0.14000000000000001</v>
      </c>
      <c r="G82" s="238"/>
    </row>
    <row r="83" spans="2:7">
      <c r="B83" s="9">
        <v>0.15</v>
      </c>
      <c r="G83" s="238"/>
    </row>
    <row r="84" spans="2:7">
      <c r="B84" s="9">
        <v>0.16</v>
      </c>
      <c r="G84" s="238"/>
    </row>
    <row r="85" spans="2:7">
      <c r="B85" s="9">
        <v>0.17</v>
      </c>
      <c r="G85" s="238"/>
    </row>
    <row r="86" spans="2:7">
      <c r="B86" s="9">
        <v>0.18</v>
      </c>
      <c r="G86" s="238"/>
    </row>
    <row r="87" spans="2:7">
      <c r="B87" s="9">
        <v>0.19</v>
      </c>
      <c r="G87" s="238"/>
    </row>
    <row r="88" spans="2:7">
      <c r="B88" s="9">
        <v>0.2</v>
      </c>
      <c r="G88" s="238"/>
    </row>
    <row r="89" spans="2:7">
      <c r="B89" s="9">
        <v>0.21</v>
      </c>
      <c r="G89" s="238"/>
    </row>
    <row r="90" spans="2:7">
      <c r="B90" s="9">
        <v>0.22</v>
      </c>
      <c r="G90" s="238"/>
    </row>
    <row r="91" spans="2:7">
      <c r="B91" s="9">
        <v>0.23</v>
      </c>
      <c r="G91" s="238"/>
    </row>
    <row r="92" spans="2:7">
      <c r="B92" s="9">
        <v>0.24</v>
      </c>
      <c r="G92" s="238"/>
    </row>
    <row r="93" spans="2:7">
      <c r="B93" s="9">
        <v>0.25</v>
      </c>
      <c r="G93" s="234"/>
    </row>
    <row r="94" spans="2:7">
      <c r="B94" s="9">
        <v>0.26</v>
      </c>
      <c r="G94" s="234"/>
    </row>
    <row r="95" spans="2:7">
      <c r="B95" s="9">
        <v>0.27</v>
      </c>
      <c r="G95" s="234"/>
    </row>
    <row r="96" spans="2:7">
      <c r="B96" s="9">
        <v>0.28000000000000003</v>
      </c>
      <c r="G96" s="234"/>
    </row>
    <row r="97" spans="2:2">
      <c r="B97" s="9">
        <v>0.28999999999999998</v>
      </c>
    </row>
    <row r="98" spans="2:2">
      <c r="B98" s="9">
        <v>0.3</v>
      </c>
    </row>
    <row r="99" spans="2:2">
      <c r="B99" s="9">
        <v>0.31</v>
      </c>
    </row>
    <row r="100" spans="2:2">
      <c r="B100" s="9">
        <v>0.32</v>
      </c>
    </row>
    <row r="101" spans="2:2">
      <c r="B101" s="9">
        <v>0.33</v>
      </c>
    </row>
    <row r="102" spans="2:2">
      <c r="B102" s="9">
        <v>0.34</v>
      </c>
    </row>
    <row r="103" spans="2:2">
      <c r="B103" s="9">
        <v>0.35</v>
      </c>
    </row>
    <row r="104" spans="2:2">
      <c r="B104" s="9">
        <v>0.36</v>
      </c>
    </row>
    <row r="105" spans="2:2">
      <c r="B105" s="9">
        <v>0.37</v>
      </c>
    </row>
    <row r="106" spans="2:2">
      <c r="B106" s="9">
        <v>0.38</v>
      </c>
    </row>
    <row r="107" spans="2:2">
      <c r="B107" s="9">
        <v>0.39</v>
      </c>
    </row>
    <row r="108" spans="2:2">
      <c r="B108" s="9">
        <v>0.4</v>
      </c>
    </row>
    <row r="109" spans="2:2">
      <c r="B109" s="9">
        <v>0.41</v>
      </c>
    </row>
    <row r="110" spans="2:2">
      <c r="B110" s="9">
        <v>0.42</v>
      </c>
    </row>
    <row r="111" spans="2:2">
      <c r="B111" s="9">
        <v>0.43</v>
      </c>
    </row>
    <row r="112" spans="2:2">
      <c r="B112" s="9">
        <v>0.44</v>
      </c>
    </row>
    <row r="113" spans="2:2">
      <c r="B113" s="9">
        <v>0.45</v>
      </c>
    </row>
    <row r="114" spans="2:2">
      <c r="B114" s="9">
        <v>0.46</v>
      </c>
    </row>
    <row r="115" spans="2:2">
      <c r="B115" s="9">
        <v>0.47</v>
      </c>
    </row>
    <row r="116" spans="2:2">
      <c r="B116" s="9">
        <v>0.48</v>
      </c>
    </row>
    <row r="117" spans="2:2">
      <c r="B117" s="9">
        <v>0.49</v>
      </c>
    </row>
    <row r="118" spans="2:2">
      <c r="B118" s="9">
        <v>0.5</v>
      </c>
    </row>
    <row r="119" spans="2:2">
      <c r="B119" s="9">
        <v>0.51</v>
      </c>
    </row>
    <row r="120" spans="2:2">
      <c r="B120" s="9">
        <v>0.52</v>
      </c>
    </row>
    <row r="121" spans="2:2">
      <c r="B121" s="9">
        <v>0.53</v>
      </c>
    </row>
    <row r="122" spans="2:2">
      <c r="B122" s="9">
        <v>0.54</v>
      </c>
    </row>
    <row r="123" spans="2:2">
      <c r="B123" s="9">
        <v>0.55000000000000004</v>
      </c>
    </row>
    <row r="124" spans="2:2">
      <c r="B124" s="9">
        <v>0.56000000000000005</v>
      </c>
    </row>
    <row r="125" spans="2:2">
      <c r="B125" s="9">
        <v>0.56999999999999995</v>
      </c>
    </row>
    <row r="126" spans="2:2">
      <c r="B126" s="9">
        <v>0.57999999999999996</v>
      </c>
    </row>
    <row r="127" spans="2:2">
      <c r="B127" s="9">
        <v>0.59</v>
      </c>
    </row>
    <row r="128" spans="2:2">
      <c r="B128" s="9">
        <v>0.6</v>
      </c>
    </row>
    <row r="129" spans="2:2">
      <c r="B129" s="9">
        <v>0.61</v>
      </c>
    </row>
    <row r="130" spans="2:2">
      <c r="B130" s="9">
        <v>0.62</v>
      </c>
    </row>
    <row r="131" spans="2:2">
      <c r="B131" s="9">
        <v>0.63</v>
      </c>
    </row>
    <row r="132" spans="2:2">
      <c r="B132" s="9">
        <v>0.64</v>
      </c>
    </row>
    <row r="133" spans="2:2">
      <c r="B133" s="9">
        <v>0.65</v>
      </c>
    </row>
    <row r="134" spans="2:2">
      <c r="B134" s="9">
        <v>0.66</v>
      </c>
    </row>
    <row r="135" spans="2:2">
      <c r="B135" s="9">
        <v>0.67</v>
      </c>
    </row>
    <row r="136" spans="2:2">
      <c r="B136" s="9">
        <v>0.68</v>
      </c>
    </row>
    <row r="137" spans="2:2">
      <c r="B137" s="9">
        <v>0.69</v>
      </c>
    </row>
    <row r="138" spans="2:2">
      <c r="B138" s="9">
        <v>0.7</v>
      </c>
    </row>
    <row r="139" spans="2:2">
      <c r="B139" s="9">
        <v>0.71</v>
      </c>
    </row>
    <row r="140" spans="2:2">
      <c r="B140" s="9">
        <v>0.72</v>
      </c>
    </row>
    <row r="141" spans="2:2">
      <c r="B141" s="9">
        <v>0.73</v>
      </c>
    </row>
    <row r="142" spans="2:2">
      <c r="B142" s="9">
        <v>0.74</v>
      </c>
    </row>
    <row r="143" spans="2:2">
      <c r="B143" s="9">
        <v>0.75</v>
      </c>
    </row>
    <row r="144" spans="2:2">
      <c r="B144" s="9">
        <v>0.76</v>
      </c>
    </row>
    <row r="145" spans="2:2">
      <c r="B145" s="9">
        <v>0.77</v>
      </c>
    </row>
    <row r="146" spans="2:2">
      <c r="B146" s="9">
        <v>0.78</v>
      </c>
    </row>
    <row r="147" spans="2:2">
      <c r="B147" s="9">
        <v>0.79</v>
      </c>
    </row>
    <row r="148" spans="2:2">
      <c r="B148" s="9">
        <v>0.8</v>
      </c>
    </row>
    <row r="149" spans="2:2">
      <c r="B149" s="9">
        <v>0.81</v>
      </c>
    </row>
    <row r="150" spans="2:2">
      <c r="B150" s="9">
        <v>0.82</v>
      </c>
    </row>
    <row r="151" spans="2:2">
      <c r="B151" s="9">
        <v>0.83</v>
      </c>
    </row>
    <row r="152" spans="2:2">
      <c r="B152" s="9">
        <v>0.84</v>
      </c>
    </row>
    <row r="153" spans="2:2">
      <c r="B153" s="9">
        <v>0.85</v>
      </c>
    </row>
    <row r="154" spans="2:2">
      <c r="B154" s="9">
        <v>0.86</v>
      </c>
    </row>
    <row r="155" spans="2:2">
      <c r="B155" s="9">
        <v>0.87</v>
      </c>
    </row>
    <row r="156" spans="2:2">
      <c r="B156" s="9">
        <v>0.88</v>
      </c>
    </row>
    <row r="157" spans="2:2">
      <c r="B157" s="9">
        <v>0.89</v>
      </c>
    </row>
    <row r="158" spans="2:2">
      <c r="B158" s="9">
        <v>0.9</v>
      </c>
    </row>
    <row r="159" spans="2:2">
      <c r="B159" s="9">
        <v>0.91</v>
      </c>
    </row>
    <row r="160" spans="2:2">
      <c r="B160" s="9">
        <v>0.92</v>
      </c>
    </row>
    <row r="161" spans="2:2">
      <c r="B161" s="9">
        <v>0.93</v>
      </c>
    </row>
    <row r="162" spans="2:2">
      <c r="B162" s="9">
        <v>0.94</v>
      </c>
    </row>
    <row r="163" spans="2:2">
      <c r="B163" s="9">
        <v>0.95</v>
      </c>
    </row>
    <row r="164" spans="2:2">
      <c r="B164" s="9">
        <v>0.96</v>
      </c>
    </row>
    <row r="165" spans="2:2">
      <c r="B165" s="9">
        <v>0.97</v>
      </c>
    </row>
    <row r="166" spans="2:2">
      <c r="B166" s="9">
        <v>0.98</v>
      </c>
    </row>
    <row r="167" spans="2:2">
      <c r="B167" s="9">
        <v>0.99</v>
      </c>
    </row>
    <row r="168" spans="2:2">
      <c r="B168" s="9">
        <v>1</v>
      </c>
    </row>
  </sheetData>
  <mergeCells count="1">
    <mergeCell ref="B36:B37"/>
  </mergeCells>
  <phoneticPr fontId="7" type="noConversion"/>
  <dataValidations count="1">
    <dataValidation type="list" allowBlank="1" showInputMessage="1" showErrorMessage="1" sqref="B36:B37">
      <formula1>"Roles+$B$32:$B$39"</formula1>
    </dataValidation>
  </dataValidations>
  <pageMargins left="1.79" right="0.75" top="1" bottom="1" header="0.5" footer="0.5"/>
  <pageSetup paperSize="9" orientation="portrait" verticalDpi="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F16"/>
  <sheetViews>
    <sheetView topLeftCell="A4" workbookViewId="0">
      <selection activeCell="L15" sqref="L15"/>
    </sheetView>
  </sheetViews>
  <sheetFormatPr baseColWidth="10" defaultColWidth="11.42578125" defaultRowHeight="12.75"/>
  <cols>
    <col min="3" max="3" width="46.42578125" customWidth="1"/>
    <col min="4" max="4" width="19.42578125" customWidth="1"/>
    <col min="5" max="5" width="20.5703125" customWidth="1"/>
    <col min="6" max="6" width="11.42578125" hidden="1" customWidth="1"/>
  </cols>
  <sheetData>
    <row r="1" spans="1:6" ht="13.5" thickBot="1">
      <c r="A1" s="213"/>
      <c r="B1" s="213"/>
      <c r="C1" s="214"/>
      <c r="D1" s="213"/>
      <c r="E1" s="213"/>
      <c r="F1" s="213"/>
    </row>
    <row r="2" spans="1:6" ht="43.5" customHeight="1" thickBot="1">
      <c r="A2" s="213"/>
      <c r="B2" s="424" t="s">
        <v>362</v>
      </c>
      <c r="C2" s="425"/>
      <c r="D2" s="425"/>
      <c r="E2" s="426"/>
      <c r="F2" s="213"/>
    </row>
    <row r="3" spans="1:6" ht="18.75" thickBot="1">
      <c r="A3" s="213"/>
      <c r="B3" s="141"/>
      <c r="C3" s="215"/>
      <c r="D3" s="141"/>
      <c r="E3" s="141"/>
      <c r="F3" s="213"/>
    </row>
    <row r="4" spans="1:6" ht="13.5" thickBot="1">
      <c r="A4" s="144"/>
      <c r="B4" s="216" t="s">
        <v>4</v>
      </c>
      <c r="C4" s="217" t="s">
        <v>363</v>
      </c>
      <c r="D4" s="218" t="s">
        <v>364</v>
      </c>
      <c r="E4" s="217" t="s">
        <v>102</v>
      </c>
      <c r="F4" s="144"/>
    </row>
    <row r="5" spans="1:6" ht="45" customHeight="1" thickBot="1">
      <c r="A5" s="213"/>
      <c r="B5" s="219">
        <v>1</v>
      </c>
      <c r="C5" s="220" t="s">
        <v>365</v>
      </c>
      <c r="D5" s="221"/>
      <c r="E5" s="222"/>
      <c r="F5" s="213"/>
    </row>
    <row r="6" spans="1:6" ht="44.25" customHeight="1" thickBot="1">
      <c r="A6" s="213"/>
      <c r="B6" s="223">
        <v>2</v>
      </c>
      <c r="C6" s="220" t="s">
        <v>366</v>
      </c>
      <c r="D6" s="224"/>
      <c r="E6" s="225"/>
      <c r="F6" s="213"/>
    </row>
    <row r="7" spans="1:6" ht="45.75" customHeight="1" thickBot="1">
      <c r="A7" s="213"/>
      <c r="B7" s="219">
        <f>B6+1</f>
        <v>3</v>
      </c>
      <c r="C7" s="226" t="s">
        <v>367</v>
      </c>
      <c r="D7" s="221"/>
      <c r="E7" s="222"/>
      <c r="F7" s="213"/>
    </row>
    <row r="8" spans="1:6" ht="45.75" customHeight="1" thickBot="1">
      <c r="A8" s="213"/>
      <c r="B8" s="223">
        <f>B7+1</f>
        <v>4</v>
      </c>
      <c r="C8" s="220" t="s">
        <v>368</v>
      </c>
      <c r="D8" s="224"/>
      <c r="E8" s="225"/>
      <c r="F8" s="213"/>
    </row>
    <row r="9" spans="1:6" ht="45.75" customHeight="1" thickBot="1">
      <c r="A9" s="213"/>
      <c r="B9" s="219">
        <f>B8+1</f>
        <v>5</v>
      </c>
      <c r="C9" s="227" t="s">
        <v>369</v>
      </c>
      <c r="D9" s="221"/>
      <c r="E9" s="222"/>
      <c r="F9" s="213"/>
    </row>
    <row r="10" spans="1:6" ht="40.5" customHeight="1" thickBot="1">
      <c r="A10" s="213"/>
      <c r="B10" s="219">
        <f>B9+1</f>
        <v>6</v>
      </c>
      <c r="C10" s="226" t="s">
        <v>370</v>
      </c>
      <c r="D10" s="228"/>
      <c r="E10" s="222"/>
      <c r="F10" s="213"/>
    </row>
    <row r="11" spans="1:6" ht="3" customHeight="1">
      <c r="A11" s="213"/>
      <c r="B11" s="213"/>
      <c r="C11" s="229"/>
      <c r="D11" s="230"/>
      <c r="E11" s="213"/>
      <c r="F11" s="213"/>
    </row>
    <row r="12" spans="1:6" ht="15">
      <c r="A12" s="213"/>
      <c r="B12" s="231" t="s">
        <v>371</v>
      </c>
      <c r="C12" s="214"/>
      <c r="D12" s="230"/>
      <c r="E12" s="213"/>
      <c r="F12" s="213"/>
    </row>
    <row r="13" spans="1:6" ht="14.25" customHeight="1">
      <c r="A13" s="213"/>
      <c r="B13" s="427" t="s">
        <v>372</v>
      </c>
      <c r="C13" s="427"/>
      <c r="D13" s="427"/>
      <c r="E13" s="427"/>
      <c r="F13" s="213"/>
    </row>
    <row r="14" spans="1:6">
      <c r="A14" s="213"/>
      <c r="B14" s="213"/>
      <c r="C14" s="214"/>
      <c r="D14" s="213"/>
      <c r="E14" s="213"/>
      <c r="F14" s="213"/>
    </row>
    <row r="15" spans="1:6">
      <c r="A15" s="213"/>
      <c r="B15" s="213"/>
      <c r="C15" s="214"/>
      <c r="D15" s="213"/>
      <c r="E15" s="213"/>
      <c r="F15" s="213"/>
    </row>
    <row r="16" spans="1:6">
      <c r="A16" s="213"/>
      <c r="B16" s="213"/>
      <c r="C16" s="214"/>
      <c r="D16" s="213"/>
      <c r="E16" s="213"/>
      <c r="F16" s="213"/>
    </row>
  </sheetData>
  <mergeCells count="2">
    <mergeCell ref="B2:E2"/>
    <mergeCell ref="B13:E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Group Box 1">
              <controlPr defaultSize="0" autoFill="0" autoPict="0">
                <anchor moveWithCells="1">
                  <from>
                    <xdr:col>3</xdr:col>
                    <xdr:colOff>0</xdr:colOff>
                    <xdr:row>4</xdr:row>
                    <xdr:rowOff>9525</xdr:rowOff>
                  </from>
                  <to>
                    <xdr:col>6</xdr:col>
                    <xdr:colOff>9525</xdr:colOff>
                    <xdr:row>5</xdr:row>
                    <xdr:rowOff>0</xdr:rowOff>
                  </to>
                </anchor>
              </controlPr>
            </control>
          </mc:Choice>
        </mc:AlternateContent>
        <mc:AlternateContent xmlns:mc="http://schemas.openxmlformats.org/markup-compatibility/2006">
          <mc:Choice Requires="x14">
            <control shapeId="38914" r:id="rId4" name="Option Button 2">
              <controlPr defaultSize="0" autoFill="0" autoLine="0" autoPict="0">
                <anchor moveWithCells="1">
                  <from>
                    <xdr:col>3</xdr:col>
                    <xdr:colOff>180975</xdr:colOff>
                    <xdr:row>4</xdr:row>
                    <xdr:rowOff>209550</xdr:rowOff>
                  </from>
                  <to>
                    <xdr:col>3</xdr:col>
                    <xdr:colOff>981075</xdr:colOff>
                    <xdr:row>4</xdr:row>
                    <xdr:rowOff>428625</xdr:rowOff>
                  </to>
                </anchor>
              </controlPr>
            </control>
          </mc:Choice>
        </mc:AlternateContent>
        <mc:AlternateContent xmlns:mc="http://schemas.openxmlformats.org/markup-compatibility/2006">
          <mc:Choice Requires="x14">
            <control shapeId="38915" r:id="rId5" name="Option Button 3">
              <controlPr defaultSize="0" autoFill="0" autoLine="0" autoPict="0">
                <anchor moveWithCells="1">
                  <from>
                    <xdr:col>3</xdr:col>
                    <xdr:colOff>923925</xdr:colOff>
                    <xdr:row>4</xdr:row>
                    <xdr:rowOff>209550</xdr:rowOff>
                  </from>
                  <to>
                    <xdr:col>4</xdr:col>
                    <xdr:colOff>428625</xdr:colOff>
                    <xdr:row>4</xdr:row>
                    <xdr:rowOff>428625</xdr:rowOff>
                  </to>
                </anchor>
              </controlPr>
            </control>
          </mc:Choice>
        </mc:AlternateContent>
        <mc:AlternateContent xmlns:mc="http://schemas.openxmlformats.org/markup-compatibility/2006">
          <mc:Choice Requires="x14">
            <control shapeId="38916" r:id="rId6" name="Group Box 4">
              <controlPr defaultSize="0" autoFill="0" autoPict="0">
                <anchor moveWithCells="1">
                  <from>
                    <xdr:col>3</xdr:col>
                    <xdr:colOff>0</xdr:colOff>
                    <xdr:row>5</xdr:row>
                    <xdr:rowOff>9525</xdr:rowOff>
                  </from>
                  <to>
                    <xdr:col>6</xdr:col>
                    <xdr:colOff>9525</xdr:colOff>
                    <xdr:row>6</xdr:row>
                    <xdr:rowOff>9525</xdr:rowOff>
                  </to>
                </anchor>
              </controlPr>
            </control>
          </mc:Choice>
        </mc:AlternateContent>
        <mc:AlternateContent xmlns:mc="http://schemas.openxmlformats.org/markup-compatibility/2006">
          <mc:Choice Requires="x14">
            <control shapeId="38917" r:id="rId7" name="Option Button 5">
              <controlPr defaultSize="0" autoFill="0" autoLine="0" autoPict="0">
                <anchor moveWithCells="1">
                  <from>
                    <xdr:col>3</xdr:col>
                    <xdr:colOff>180975</xdr:colOff>
                    <xdr:row>5</xdr:row>
                    <xdr:rowOff>209550</xdr:rowOff>
                  </from>
                  <to>
                    <xdr:col>3</xdr:col>
                    <xdr:colOff>981075</xdr:colOff>
                    <xdr:row>5</xdr:row>
                    <xdr:rowOff>428625</xdr:rowOff>
                  </to>
                </anchor>
              </controlPr>
            </control>
          </mc:Choice>
        </mc:AlternateContent>
        <mc:AlternateContent xmlns:mc="http://schemas.openxmlformats.org/markup-compatibility/2006">
          <mc:Choice Requires="x14">
            <control shapeId="38918" r:id="rId8" name="Option Button 6">
              <controlPr defaultSize="0" autoFill="0" autoLine="0" autoPict="0">
                <anchor moveWithCells="1">
                  <from>
                    <xdr:col>3</xdr:col>
                    <xdr:colOff>923925</xdr:colOff>
                    <xdr:row>5</xdr:row>
                    <xdr:rowOff>209550</xdr:rowOff>
                  </from>
                  <to>
                    <xdr:col>4</xdr:col>
                    <xdr:colOff>428625</xdr:colOff>
                    <xdr:row>5</xdr:row>
                    <xdr:rowOff>428625</xdr:rowOff>
                  </to>
                </anchor>
              </controlPr>
            </control>
          </mc:Choice>
        </mc:AlternateContent>
        <mc:AlternateContent xmlns:mc="http://schemas.openxmlformats.org/markup-compatibility/2006">
          <mc:Choice Requires="x14">
            <control shapeId="38919" r:id="rId9" name="Group Box 7">
              <controlPr defaultSize="0" autoFill="0" autoPict="0">
                <anchor moveWithCells="1">
                  <from>
                    <xdr:col>3</xdr:col>
                    <xdr:colOff>0</xdr:colOff>
                    <xdr:row>6</xdr:row>
                    <xdr:rowOff>9525</xdr:rowOff>
                  </from>
                  <to>
                    <xdr:col>6</xdr:col>
                    <xdr:colOff>9525</xdr:colOff>
                    <xdr:row>6</xdr:row>
                    <xdr:rowOff>571500</xdr:rowOff>
                  </to>
                </anchor>
              </controlPr>
            </control>
          </mc:Choice>
        </mc:AlternateContent>
        <mc:AlternateContent xmlns:mc="http://schemas.openxmlformats.org/markup-compatibility/2006">
          <mc:Choice Requires="x14">
            <control shapeId="38920" r:id="rId10" name="Option Button 8">
              <controlPr defaultSize="0" autoFill="0" autoLine="0" autoPict="0">
                <anchor moveWithCells="1">
                  <from>
                    <xdr:col>3</xdr:col>
                    <xdr:colOff>180975</xdr:colOff>
                    <xdr:row>6</xdr:row>
                    <xdr:rowOff>209550</xdr:rowOff>
                  </from>
                  <to>
                    <xdr:col>3</xdr:col>
                    <xdr:colOff>981075</xdr:colOff>
                    <xdr:row>6</xdr:row>
                    <xdr:rowOff>428625</xdr:rowOff>
                  </to>
                </anchor>
              </controlPr>
            </control>
          </mc:Choice>
        </mc:AlternateContent>
        <mc:AlternateContent xmlns:mc="http://schemas.openxmlformats.org/markup-compatibility/2006">
          <mc:Choice Requires="x14">
            <control shapeId="38921" r:id="rId11" name="Option Button 9">
              <controlPr defaultSize="0" autoFill="0" autoLine="0" autoPict="0">
                <anchor moveWithCells="1">
                  <from>
                    <xdr:col>3</xdr:col>
                    <xdr:colOff>923925</xdr:colOff>
                    <xdr:row>6</xdr:row>
                    <xdr:rowOff>209550</xdr:rowOff>
                  </from>
                  <to>
                    <xdr:col>4</xdr:col>
                    <xdr:colOff>428625</xdr:colOff>
                    <xdr:row>6</xdr:row>
                    <xdr:rowOff>428625</xdr:rowOff>
                  </to>
                </anchor>
              </controlPr>
            </control>
          </mc:Choice>
        </mc:AlternateContent>
        <mc:AlternateContent xmlns:mc="http://schemas.openxmlformats.org/markup-compatibility/2006">
          <mc:Choice Requires="x14">
            <control shapeId="38922" r:id="rId12" name="Group Box 10">
              <controlPr defaultSize="0" autoFill="0" autoPict="0">
                <anchor moveWithCells="1">
                  <from>
                    <xdr:col>3</xdr:col>
                    <xdr:colOff>0</xdr:colOff>
                    <xdr:row>7</xdr:row>
                    <xdr:rowOff>9525</xdr:rowOff>
                  </from>
                  <to>
                    <xdr:col>6</xdr:col>
                    <xdr:colOff>9525</xdr:colOff>
                    <xdr:row>7</xdr:row>
                    <xdr:rowOff>571500</xdr:rowOff>
                  </to>
                </anchor>
              </controlPr>
            </control>
          </mc:Choice>
        </mc:AlternateContent>
        <mc:AlternateContent xmlns:mc="http://schemas.openxmlformats.org/markup-compatibility/2006">
          <mc:Choice Requires="x14">
            <control shapeId="38923" r:id="rId13" name="Option Button 11">
              <controlPr defaultSize="0" autoFill="0" autoLine="0" autoPict="0">
                <anchor moveWithCells="1">
                  <from>
                    <xdr:col>3</xdr:col>
                    <xdr:colOff>180975</xdr:colOff>
                    <xdr:row>7</xdr:row>
                    <xdr:rowOff>209550</xdr:rowOff>
                  </from>
                  <to>
                    <xdr:col>3</xdr:col>
                    <xdr:colOff>981075</xdr:colOff>
                    <xdr:row>7</xdr:row>
                    <xdr:rowOff>428625</xdr:rowOff>
                  </to>
                </anchor>
              </controlPr>
            </control>
          </mc:Choice>
        </mc:AlternateContent>
        <mc:AlternateContent xmlns:mc="http://schemas.openxmlformats.org/markup-compatibility/2006">
          <mc:Choice Requires="x14">
            <control shapeId="38924" r:id="rId14" name="Option Button 12">
              <controlPr defaultSize="0" autoFill="0" autoLine="0" autoPict="0">
                <anchor moveWithCells="1">
                  <from>
                    <xdr:col>3</xdr:col>
                    <xdr:colOff>923925</xdr:colOff>
                    <xdr:row>7</xdr:row>
                    <xdr:rowOff>209550</xdr:rowOff>
                  </from>
                  <to>
                    <xdr:col>4</xdr:col>
                    <xdr:colOff>428625</xdr:colOff>
                    <xdr:row>7</xdr:row>
                    <xdr:rowOff>428625</xdr:rowOff>
                  </to>
                </anchor>
              </controlPr>
            </control>
          </mc:Choice>
        </mc:AlternateContent>
        <mc:AlternateContent xmlns:mc="http://schemas.openxmlformats.org/markup-compatibility/2006">
          <mc:Choice Requires="x14">
            <control shapeId="38925" r:id="rId15" name="Option Button 13">
              <controlPr defaultSize="0" autoFill="0" autoLine="0" autoPict="0">
                <anchor moveWithCells="1">
                  <from>
                    <xdr:col>3</xdr:col>
                    <xdr:colOff>1657350</xdr:colOff>
                    <xdr:row>7</xdr:row>
                    <xdr:rowOff>209550</xdr:rowOff>
                  </from>
                  <to>
                    <xdr:col>4</xdr:col>
                    <xdr:colOff>800100</xdr:colOff>
                    <xdr:row>7</xdr:row>
                    <xdr:rowOff>428625</xdr:rowOff>
                  </to>
                </anchor>
              </controlPr>
            </control>
          </mc:Choice>
        </mc:AlternateContent>
        <mc:AlternateContent xmlns:mc="http://schemas.openxmlformats.org/markup-compatibility/2006">
          <mc:Choice Requires="x14">
            <control shapeId="38926" r:id="rId16" name="Group Box 14">
              <controlPr defaultSize="0" autoFill="0" autoPict="0">
                <anchor moveWithCells="1">
                  <from>
                    <xdr:col>3</xdr:col>
                    <xdr:colOff>0</xdr:colOff>
                    <xdr:row>8</xdr:row>
                    <xdr:rowOff>9525</xdr:rowOff>
                  </from>
                  <to>
                    <xdr:col>6</xdr:col>
                    <xdr:colOff>9525</xdr:colOff>
                    <xdr:row>8</xdr:row>
                    <xdr:rowOff>571500</xdr:rowOff>
                  </to>
                </anchor>
              </controlPr>
            </control>
          </mc:Choice>
        </mc:AlternateContent>
        <mc:AlternateContent xmlns:mc="http://schemas.openxmlformats.org/markup-compatibility/2006">
          <mc:Choice Requires="x14">
            <control shapeId="38927" r:id="rId17" name="Option Button 15">
              <controlPr defaultSize="0" autoFill="0" autoLine="0" autoPict="0">
                <anchor moveWithCells="1">
                  <from>
                    <xdr:col>3</xdr:col>
                    <xdr:colOff>180975</xdr:colOff>
                    <xdr:row>8</xdr:row>
                    <xdr:rowOff>209550</xdr:rowOff>
                  </from>
                  <to>
                    <xdr:col>3</xdr:col>
                    <xdr:colOff>981075</xdr:colOff>
                    <xdr:row>8</xdr:row>
                    <xdr:rowOff>428625</xdr:rowOff>
                  </to>
                </anchor>
              </controlPr>
            </control>
          </mc:Choice>
        </mc:AlternateContent>
        <mc:AlternateContent xmlns:mc="http://schemas.openxmlformats.org/markup-compatibility/2006">
          <mc:Choice Requires="x14">
            <control shapeId="38928" r:id="rId18" name="Option Button 16">
              <controlPr defaultSize="0" autoFill="0" autoLine="0" autoPict="0">
                <anchor moveWithCells="1">
                  <from>
                    <xdr:col>3</xdr:col>
                    <xdr:colOff>923925</xdr:colOff>
                    <xdr:row>8</xdr:row>
                    <xdr:rowOff>209550</xdr:rowOff>
                  </from>
                  <to>
                    <xdr:col>4</xdr:col>
                    <xdr:colOff>428625</xdr:colOff>
                    <xdr:row>8</xdr:row>
                    <xdr:rowOff>428625</xdr:rowOff>
                  </to>
                </anchor>
              </controlPr>
            </control>
          </mc:Choice>
        </mc:AlternateContent>
        <mc:AlternateContent xmlns:mc="http://schemas.openxmlformats.org/markup-compatibility/2006">
          <mc:Choice Requires="x14">
            <control shapeId="38929" r:id="rId19" name="Group Box 17">
              <controlPr defaultSize="0" autoFill="0" autoPict="0">
                <anchor moveWithCells="1">
                  <from>
                    <xdr:col>3</xdr:col>
                    <xdr:colOff>0</xdr:colOff>
                    <xdr:row>9</xdr:row>
                    <xdr:rowOff>0</xdr:rowOff>
                  </from>
                  <to>
                    <xdr:col>6</xdr:col>
                    <xdr:colOff>9525</xdr:colOff>
                    <xdr:row>10</xdr:row>
                    <xdr:rowOff>0</xdr:rowOff>
                  </to>
                </anchor>
              </controlPr>
            </control>
          </mc:Choice>
        </mc:AlternateContent>
        <mc:AlternateContent xmlns:mc="http://schemas.openxmlformats.org/markup-compatibility/2006">
          <mc:Choice Requires="x14">
            <control shapeId="38930" r:id="rId20" name="Group Box 18">
              <controlPr defaultSize="0" autoFill="0" autoPict="0">
                <anchor moveWithCells="1">
                  <from>
                    <xdr:col>3</xdr:col>
                    <xdr:colOff>0</xdr:colOff>
                    <xdr:row>9</xdr:row>
                    <xdr:rowOff>9525</xdr:rowOff>
                  </from>
                  <to>
                    <xdr:col>6</xdr:col>
                    <xdr:colOff>9525</xdr:colOff>
                    <xdr:row>10</xdr:row>
                    <xdr:rowOff>0</xdr:rowOff>
                  </to>
                </anchor>
              </controlPr>
            </control>
          </mc:Choice>
        </mc:AlternateContent>
        <mc:AlternateContent xmlns:mc="http://schemas.openxmlformats.org/markup-compatibility/2006">
          <mc:Choice Requires="x14">
            <control shapeId="38931" r:id="rId21" name="Option Button 19">
              <controlPr defaultSize="0" autoFill="0" autoLine="0" autoPict="0">
                <anchor moveWithCells="1">
                  <from>
                    <xdr:col>3</xdr:col>
                    <xdr:colOff>180975</xdr:colOff>
                    <xdr:row>9</xdr:row>
                    <xdr:rowOff>209550</xdr:rowOff>
                  </from>
                  <to>
                    <xdr:col>3</xdr:col>
                    <xdr:colOff>981075</xdr:colOff>
                    <xdr:row>9</xdr:row>
                    <xdr:rowOff>409575</xdr:rowOff>
                  </to>
                </anchor>
              </controlPr>
            </control>
          </mc:Choice>
        </mc:AlternateContent>
        <mc:AlternateContent xmlns:mc="http://schemas.openxmlformats.org/markup-compatibility/2006">
          <mc:Choice Requires="x14">
            <control shapeId="38932" r:id="rId22" name="Option Button 20">
              <controlPr defaultSize="0" autoFill="0" autoLine="0" autoPict="0">
                <anchor moveWithCells="1">
                  <from>
                    <xdr:col>3</xdr:col>
                    <xdr:colOff>923925</xdr:colOff>
                    <xdr:row>9</xdr:row>
                    <xdr:rowOff>209550</xdr:rowOff>
                  </from>
                  <to>
                    <xdr:col>4</xdr:col>
                    <xdr:colOff>428625</xdr:colOff>
                    <xdr:row>9</xdr:row>
                    <xdr:rowOff>409575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27</vt:i4>
      </vt:variant>
    </vt:vector>
  </HeadingPairs>
  <TitlesOfParts>
    <vt:vector size="41" baseType="lpstr">
      <vt:lpstr>Historial_Revisiones</vt:lpstr>
      <vt:lpstr>Instructivo</vt:lpstr>
      <vt:lpstr>Registro de Cambios</vt:lpstr>
      <vt:lpstr>General</vt:lpstr>
      <vt:lpstr>Entregables</vt:lpstr>
      <vt:lpstr>Consideraciones</vt:lpstr>
      <vt:lpstr>Requerimientos de usuario</vt:lpstr>
      <vt:lpstr>Requerimientos del sistema</vt:lpstr>
      <vt:lpstr>Requerimientos no funcionales</vt:lpstr>
      <vt:lpstr>Observaciones a la LR</vt:lpstr>
      <vt:lpstr>Diccionario de atributos</vt:lpstr>
      <vt:lpstr>Diccionario de valores</vt:lpstr>
      <vt:lpstr>Tablas</vt:lpstr>
      <vt:lpstr>check list</vt:lpstr>
      <vt:lpstr>Aarquitectura</vt:lpstr>
      <vt:lpstr>Analista</vt:lpstr>
      <vt:lpstr>Analista_de_Calidad</vt:lpstr>
      <vt:lpstr>Aplicaciones</vt:lpstr>
      <vt:lpstr>General!Área_de_impresión</vt:lpstr>
      <vt:lpstr>Autor_Registro</vt:lpstr>
      <vt:lpstr>Consultor</vt:lpstr>
      <vt:lpstr>Contacto</vt:lpstr>
      <vt:lpstr>Dedicacion</vt:lpstr>
      <vt:lpstr>Dificultad</vt:lpstr>
      <vt:lpstr>horas</vt:lpstr>
      <vt:lpstr>interfaz</vt:lpstr>
      <vt:lpstr>Jefe_de_Fábrica</vt:lpstr>
      <vt:lpstr>Opcion</vt:lpstr>
      <vt:lpstr>Recursos</vt:lpstr>
      <vt:lpstr>Rol</vt:lpstr>
      <vt:lpstr>RUSU</vt:lpstr>
      <vt:lpstr>Situación</vt:lpstr>
      <vt:lpstr>TAB_LINEA</vt:lpstr>
      <vt:lpstr>TAB_MIN_ESFUERZO</vt:lpstr>
      <vt:lpstr>TAB_MIN_PLAZO</vt:lpstr>
      <vt:lpstr>TAB_PRIORIDAD</vt:lpstr>
      <vt:lpstr>TAB_SOLICITUD</vt:lpstr>
      <vt:lpstr>TAB_TIPO_OT</vt:lpstr>
      <vt:lpstr>TIPODESARROLLO</vt:lpstr>
      <vt:lpstr>TipoOt</vt:lpstr>
      <vt:lpstr>TipoReqSist</vt:lpstr>
    </vt:vector>
  </TitlesOfParts>
  <Company>GMD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RWG</dc:creator>
  <cp:lastModifiedBy>np375105</cp:lastModifiedBy>
  <cp:lastPrinted>2013-11-19T19:41:48Z</cp:lastPrinted>
  <dcterms:created xsi:type="dcterms:W3CDTF">2006-05-15T17:32:50Z</dcterms:created>
  <dcterms:modified xsi:type="dcterms:W3CDTF">2016-05-09T22:34:51Z</dcterms:modified>
</cp:coreProperties>
</file>